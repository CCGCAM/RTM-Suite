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piau\Documents\GitHub\marmit\marmit2\databases\Lobell_2002\"/>
    </mc:Choice>
  </mc:AlternateContent>
  <xr:revisionPtr revIDLastSave="0" documentId="13_ncr:1_{70F5F802-648D-429F-B5CD-01D77904590D}" xr6:coauthVersionLast="36" xr6:coauthVersionMax="36" xr10:uidLastSave="{00000000-0000-0000-0000-000000000000}"/>
  <bookViews>
    <workbookView xWindow="0" yWindow="0" windowWidth="25200" windowHeight="11775" xr2:uid="{87A9A29A-6E9E-4030-A139-79D41CB16026}"/>
  </bookViews>
  <sheets>
    <sheet name="ReadMe" sheetId="1" r:id="rId1"/>
    <sheet name="Database" sheetId="2" r:id="rId2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3" i="2"/>
  <c r="G2" i="2"/>
</calcChain>
</file>

<file path=xl/sharedStrings.xml><?xml version="1.0" encoding="utf-8"?>
<sst xmlns="http://schemas.openxmlformats.org/spreadsheetml/2006/main" count="207" uniqueCount="111">
  <si>
    <t>#</t>
  </si>
  <si>
    <t>Variable</t>
  </si>
  <si>
    <t>Comments</t>
  </si>
  <si>
    <t>Name</t>
  </si>
  <si>
    <t>name of the sample</t>
  </si>
  <si>
    <t>ID</t>
  </si>
  <si>
    <t>ID of the sample</t>
  </si>
  <si>
    <t>Origin</t>
  </si>
  <si>
    <t>Refl_file</t>
  </si>
  <si>
    <t>SMCg</t>
  </si>
  <si>
    <t>gravimetric soil moisture content</t>
  </si>
  <si>
    <t>Additional remarks</t>
  </si>
  <si>
    <t>References</t>
  </si>
  <si>
    <t>soil reflectance and humidity content database (2002)</t>
  </si>
  <si>
    <t>Number of soil samples: 4</t>
  </si>
  <si>
    <t>Density</t>
  </si>
  <si>
    <t>Porosity</t>
  </si>
  <si>
    <t>origin of the sample</t>
  </si>
  <si>
    <t>"Moisture effects on soil reflectance"</t>
  </si>
  <si>
    <t>SMCv</t>
  </si>
  <si>
    <t>volumetric soil moisture content</t>
  </si>
  <si>
    <t>Argic Aridisol</t>
  </si>
  <si>
    <t>Chihuahuan desert (New Mexico)</t>
  </si>
  <si>
    <t>Xeric Andisol</t>
  </si>
  <si>
    <t xml:space="preserve">coniferous forest in Central Oregon </t>
  </si>
  <si>
    <t>Ustic Mollisol</t>
  </si>
  <si>
    <t>North Texas Savanna</t>
  </si>
  <si>
    <t>Aridic Entisol</t>
  </si>
  <si>
    <t>OC</t>
  </si>
  <si>
    <t>SMCv=100*((m_w-m_d)/rho_w)/(m_d/rho_b) and SMCg=SMCv*rho_w/rho_b with:</t>
  </si>
  <si>
    <t xml:space="preserve">organic carbon in g/kg </t>
  </si>
  <si>
    <t>K</t>
  </si>
  <si>
    <t>a</t>
  </si>
  <si>
    <t>psi</t>
  </si>
  <si>
    <t>lob02_001.csv</t>
  </si>
  <si>
    <t>lob02_002.csv</t>
  </si>
  <si>
    <t>lob02_003.csv</t>
  </si>
  <si>
    <t>lob02_004.csv</t>
  </si>
  <si>
    <t>lob02_005.csv</t>
  </si>
  <si>
    <t>lob02_006.csv</t>
  </si>
  <si>
    <t>lob02_007.csv</t>
  </si>
  <si>
    <t>lob02_008.csv</t>
  </si>
  <si>
    <t>lob02_009.csv</t>
  </si>
  <si>
    <t>lob02_010.csv</t>
  </si>
  <si>
    <t>lob02_011.csv</t>
  </si>
  <si>
    <t>lob02_012.csv</t>
  </si>
  <si>
    <t>lob02_013.csv</t>
  </si>
  <si>
    <t>lob02_014.csv</t>
  </si>
  <si>
    <t>lob02_015.csv</t>
  </si>
  <si>
    <t>lob02_016.csv</t>
  </si>
  <si>
    <t>lob02_017.csv</t>
  </si>
  <si>
    <t>lob02_018.csv</t>
  </si>
  <si>
    <t>lob02_019.csv</t>
  </si>
  <si>
    <t>lob02_020.csv</t>
  </si>
  <si>
    <t>lob02_021.csv</t>
  </si>
  <si>
    <t>lob02_022.csv</t>
  </si>
  <si>
    <t>lob02_023.csv</t>
  </si>
  <si>
    <t>lob02_024.csv</t>
  </si>
  <si>
    <t>lob02_025.csv</t>
  </si>
  <si>
    <t>lob02_026.csv</t>
  </si>
  <si>
    <t>lob02_027.csv</t>
  </si>
  <si>
    <t>lob02_028.csv</t>
  </si>
  <si>
    <t>lob02_029.csv</t>
  </si>
  <si>
    <t>lob02_030.csv</t>
  </si>
  <si>
    <t>lob02_031.csv</t>
  </si>
  <si>
    <t>lob02_032.csv</t>
  </si>
  <si>
    <t>lob02_033.csv</t>
  </si>
  <si>
    <t>lob02_034.csv</t>
  </si>
  <si>
    <t>lob02_035.csv</t>
  </si>
  <si>
    <t>lob02_036.csv</t>
  </si>
  <si>
    <t>lob02_037.csv</t>
  </si>
  <si>
    <t>lob02_038.csv</t>
  </si>
  <si>
    <t>lob02_039.csv</t>
  </si>
  <si>
    <t>lob02_040.csv</t>
  </si>
  <si>
    <t>lob02_041.csv</t>
  </si>
  <si>
    <t>Specular</t>
  </si>
  <si>
    <t>suspicion of specular reflection : 0 = no, 1 = yes</t>
  </si>
  <si>
    <t>parameter of the sigmoid function for soil calibration</t>
  </si>
  <si>
    <t>Slope</t>
  </si>
  <si>
    <t>Intercept</t>
  </si>
  <si>
    <t>"Distinguishing vegetation from soil background information"</t>
  </si>
  <si>
    <t>L</t>
  </si>
  <si>
    <t>eps</t>
  </si>
  <si>
    <t>slope of the soil line</t>
  </si>
  <si>
    <t>intercept of the soil line</t>
  </si>
  <si>
    <t>Density_of_water</t>
  </si>
  <si>
    <t>D. Lobell (Standford University), G.P. Asner (Standford University)</t>
  </si>
  <si>
    <t>Location of the acquisitions: Standford University, Standford (CA, USA)</t>
  </si>
  <si>
    <t>file name of the reflectance spectrum (from 350 nm to 2490 nm with 1 nm step)</t>
  </si>
  <si>
    <t>porosity in %</t>
  </si>
  <si>
    <t>bulk density in g/cm3</t>
  </si>
  <si>
    <t>density of water in g/cm3</t>
  </si>
  <si>
    <t>The samples were humidified until saturation, then air dried to obtain the successive soil moisture contents [1].</t>
  </si>
  <si>
    <t>The light source was making a 15° angle with the normal of the samples and the spectroradiometer was measuring at nadir.</t>
  </si>
  <si>
    <t xml:space="preserve"> - m_w is the mass of the soil sample and m_d is the mass of the dried soil sample</t>
  </si>
  <si>
    <r>
      <t xml:space="preserve"> </t>
    </r>
    <r>
      <rPr>
        <sz val="10"/>
        <rFont val="Arial"/>
        <family val="2"/>
      </rPr>
      <t>- rho_w=1 g/cm3 is the density of water and rho_b is the bulk density of the soil sample</t>
    </r>
  </si>
  <si>
    <t>The spectra were measured with a 10 nm step (starting from 350 nm) and linearly interpolated to obtain a 1 nm step.</t>
  </si>
  <si>
    <t>[1] Lobell D. &amp; Asner G. (2002)</t>
  </si>
  <si>
    <t>Soil Science Society of America Journal, 66(3):722-727. http://dx.doi.org/10.2136/sssaj2002.7220</t>
  </si>
  <si>
    <t>Photogrammetric Engineering and Remote Sensing, 43(12):1541–1552. https://www.asprs.org/wp-content/uploads/pers/1977journal/dec/1977_dec_1541-1552.pdf</t>
  </si>
  <si>
    <t>[2] Richardson A.J. &amp; Wiegand C.L. (1977)</t>
  </si>
  <si>
    <t xml:space="preserve">For different SMC, the soil line relates the near infrared (NIR) reflectance to the red (RED) reflectance of a given soil [2]. The slope and the intercept of the soil line are given in this database. </t>
  </si>
  <si>
    <t>Last update : 1st October, 2021</t>
  </si>
  <si>
    <t>thickness of the water layer in cm (parameter of MARMIT-2)</t>
  </si>
  <si>
    <t>surface fraction of wet soil (parameter of MARMIT-2)</t>
  </si>
  <si>
    <t>A relationship between SMC and phi=L*epsilon, with L and epsilon two of the three input parameters of MARMIT-2 [3], is given for each soil: SMC = K/(1+a*exp(-psi*phi)) where K, a, and psi are the parameters of the sigmoid function.</t>
  </si>
  <si>
    <t>volume fraction of soil particles in the water layer (parameter of MARMIT-2)</t>
  </si>
  <si>
    <t>d</t>
  </si>
  <si>
    <t>"MARMIT-2: an improved version of the MARMIT model to predict soil reflectance as a function of surface water content in the solar domain"</t>
  </si>
  <si>
    <t xml:space="preserve">[3] Dupiau A., Jacquemoud S., Briottet X., Fabre S., Viallefont-Robinet F., Philpot W., Di Biagio C., Hébert M., Formenti P. (2022) </t>
  </si>
  <si>
    <t xml:space="preserve">Remore Sensing of Environment, 272:112951. https://doi.org/10.1016/j.rse.2022.112951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</si>
</sst>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0.0000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1" xfId="0" applyFont="1" applyFill="1" applyBorder="1"/>
    <xf numFmtId="0" fontId="5" fillId="0" borderId="5" xfId="0" applyFont="1" applyFill="1" applyBorder="1"/>
    <xf numFmtId="0" fontId="5" fillId="0" borderId="5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/>
    <xf numFmtId="0" fontId="9" fillId="0" borderId="10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2" fillId="0" borderId="1" xfId="0" applyFont="1" applyBorder="1"/>
    <xf numFmtId="0" fontId="2" fillId="0" borderId="9" xfId="0" applyFont="1" applyBorder="1"/>
    <xf numFmtId="0" fontId="2" fillId="2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8" xfId="0" applyFont="1" applyBorder="1"/>
    <xf numFmtId="0" fontId="2" fillId="0" borderId="5" xfId="0" applyFont="1" applyFill="1" applyBorder="1"/>
    <xf numFmtId="0" fontId="2" fillId="0" borderId="8" xfId="0" applyFont="1" applyFill="1" applyBorder="1"/>
    <xf numFmtId="0" fontId="2" fillId="0" borderId="6" xfId="0" applyFont="1" applyFill="1" applyBorder="1"/>
    <xf numFmtId="0" fontId="2" fillId="0" borderId="9" xfId="0" applyFont="1" applyFill="1" applyBorder="1"/>
    <xf numFmtId="0" fontId="9" fillId="0" borderId="0" xfId="0" applyFont="1"/>
    <xf numFmtId="165" fontId="2" fillId="3" borderId="7" xfId="0" applyNumberFormat="1" applyFont="1" applyFill="1" applyBorder="1" applyAlignment="1">
      <alignment horizontal="center"/>
    </xf>
    <xf numFmtId="165" fontId="2" fillId="3" borderId="15" xfId="0" applyNumberFormat="1" applyFont="1" applyFill="1" applyBorder="1" applyAlignment="1">
      <alignment horizontal="center"/>
    </xf>
    <xf numFmtId="165" fontId="2" fillId="3" borderId="20" xfId="0" applyNumberFormat="1" applyFont="1" applyFill="1" applyBorder="1" applyAlignment="1">
      <alignment horizontal="center"/>
    </xf>
    <xf numFmtId="165" fontId="2" fillId="3" borderId="16" xfId="0" applyNumberFormat="1" applyFont="1" applyFill="1" applyBorder="1" applyAlignment="1">
      <alignment horizontal="center"/>
    </xf>
    <xf numFmtId="165" fontId="2" fillId="3" borderId="18" xfId="0" applyNumberFormat="1" applyFont="1" applyFill="1" applyBorder="1" applyAlignment="1">
      <alignment horizontal="center"/>
    </xf>
    <xf numFmtId="165" fontId="2" fillId="3" borderId="19" xfId="0" applyNumberFormat="1" applyFont="1" applyFill="1" applyBorder="1" applyAlignment="1">
      <alignment horizontal="center"/>
    </xf>
    <xf numFmtId="165" fontId="2" fillId="3" borderId="17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justify"/>
    </xf>
    <xf numFmtId="0" fontId="2" fillId="4" borderId="5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left" vertical="justify"/>
    </xf>
    <xf numFmtId="0" fontId="5" fillId="4" borderId="5" xfId="0" applyFont="1" applyFill="1" applyBorder="1" applyAlignment="1">
      <alignment horizontal="left" vertical="justify"/>
    </xf>
    <xf numFmtId="0" fontId="5" fillId="4" borderId="0" xfId="0" applyFont="1" applyFill="1" applyBorder="1" applyAlignment="1">
      <alignment horizontal="left" vertical="justify"/>
    </xf>
    <xf numFmtId="164" fontId="5" fillId="2" borderId="6" xfId="0" applyNumberFormat="1" applyFont="1" applyFill="1" applyBorder="1" applyAlignment="1">
      <alignment horizontal="left" vertical="justify"/>
    </xf>
    <xf numFmtId="164" fontId="5" fillId="2" borderId="8" xfId="0" applyNumberFormat="1" applyFont="1" applyFill="1" applyBorder="1" applyAlignment="1">
      <alignment horizontal="left" vertical="justify"/>
    </xf>
    <xf numFmtId="0" fontId="2" fillId="5" borderId="5" xfId="0" applyFont="1" applyFill="1" applyBorder="1" applyAlignment="1">
      <alignment horizontal="center"/>
    </xf>
    <xf numFmtId="164" fontId="5" fillId="5" borderId="0" xfId="0" applyNumberFormat="1" applyFont="1" applyFill="1" applyBorder="1" applyAlignment="1">
      <alignment horizontal="left" vertical="justify"/>
    </xf>
    <xf numFmtId="164" fontId="5" fillId="5" borderId="5" xfId="0" applyNumberFormat="1" applyFont="1" applyFill="1" applyBorder="1" applyAlignment="1">
      <alignment horizontal="left" vertical="justify"/>
    </xf>
    <xf numFmtId="0" fontId="2" fillId="5" borderId="8" xfId="0" applyFont="1" applyFill="1" applyBorder="1" applyAlignment="1">
      <alignment horizontal="center"/>
    </xf>
    <xf numFmtId="164" fontId="5" fillId="5" borderId="20" xfId="0" applyNumberFormat="1" applyFont="1" applyFill="1" applyBorder="1" applyAlignment="1">
      <alignment horizontal="left" vertical="justify"/>
    </xf>
    <xf numFmtId="0" fontId="2" fillId="6" borderId="5" xfId="0" applyFont="1" applyFill="1" applyBorder="1" applyAlignment="1">
      <alignment horizontal="center"/>
    </xf>
    <xf numFmtId="0" fontId="2" fillId="6" borderId="5" xfId="0" applyFont="1" applyFill="1" applyBorder="1"/>
    <xf numFmtId="0" fontId="2" fillId="6" borderId="8" xfId="0" applyFont="1" applyFill="1" applyBorder="1" applyAlignment="1">
      <alignment horizontal="center"/>
    </xf>
    <xf numFmtId="0" fontId="2" fillId="6" borderId="8" xfId="0" applyFont="1" applyFill="1" applyBorder="1"/>
    <xf numFmtId="0" fontId="2" fillId="7" borderId="5" xfId="0" applyFont="1" applyFill="1" applyBorder="1" applyAlignment="1">
      <alignment horizontal="center"/>
    </xf>
    <xf numFmtId="0" fontId="2" fillId="7" borderId="5" xfId="0" applyFont="1" applyFill="1" applyBorder="1"/>
    <xf numFmtId="0" fontId="2" fillId="7" borderId="8" xfId="0" applyFont="1" applyFill="1" applyBorder="1" applyAlignment="1">
      <alignment horizontal="center"/>
    </xf>
    <xf numFmtId="0" fontId="2" fillId="7" borderId="8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20" xfId="0" applyFont="1" applyFill="1" applyBorder="1" applyAlignment="1">
      <alignment horizontal="center"/>
    </xf>
    <xf numFmtId="0" fontId="2" fillId="8" borderId="8" xfId="0" applyFont="1" applyFill="1" applyBorder="1"/>
    <xf numFmtId="0" fontId="2" fillId="4" borderId="21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2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23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left"/>
    </xf>
    <xf numFmtId="0" fontId="2" fillId="4" borderId="13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165" fontId="2" fillId="6" borderId="7" xfId="0" applyNumberFormat="1" applyFont="1" applyFill="1" applyBorder="1" applyAlignment="1">
      <alignment horizontal="center"/>
    </xf>
    <xf numFmtId="165" fontId="2" fillId="6" borderId="20" xfId="0" applyNumberFormat="1" applyFont="1" applyFill="1" applyBorder="1" applyAlignment="1">
      <alignment horizontal="center"/>
    </xf>
    <xf numFmtId="165" fontId="2" fillId="6" borderId="19" xfId="0" applyNumberFormat="1" applyFont="1" applyFill="1" applyBorder="1" applyAlignment="1">
      <alignment horizontal="center"/>
    </xf>
    <xf numFmtId="2" fontId="2" fillId="7" borderId="7" xfId="0" applyNumberFormat="1" applyFont="1" applyFill="1" applyBorder="1" applyAlignment="1">
      <alignment horizontal="center"/>
    </xf>
    <xf numFmtId="2" fontId="2" fillId="7" borderId="20" xfId="0" applyNumberFormat="1" applyFont="1" applyFill="1" applyBorder="1" applyAlignment="1">
      <alignment horizontal="center"/>
    </xf>
    <xf numFmtId="2" fontId="2" fillId="7" borderId="19" xfId="0" applyNumberFormat="1" applyFont="1" applyFill="1" applyBorder="1" applyAlignment="1">
      <alignment horizontal="center"/>
    </xf>
    <xf numFmtId="2" fontId="2" fillId="6" borderId="7" xfId="0" applyNumberFormat="1" applyFont="1" applyFill="1" applyBorder="1" applyAlignment="1">
      <alignment horizontal="center"/>
    </xf>
    <xf numFmtId="2" fontId="2" fillId="6" borderId="20" xfId="0" applyNumberFormat="1" applyFont="1" applyFill="1" applyBorder="1" applyAlignment="1">
      <alignment horizontal="center"/>
    </xf>
    <xf numFmtId="2" fontId="2" fillId="6" borderId="19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6" fontId="2" fillId="2" borderId="5" xfId="0" applyNumberFormat="1" applyFont="1" applyFill="1" applyBorder="1" applyAlignment="1">
      <alignment horizontal="center"/>
    </xf>
    <xf numFmtId="166" fontId="2" fillId="2" borderId="8" xfId="0" applyNumberFormat="1" applyFont="1" applyFill="1" applyBorder="1" applyAlignment="1">
      <alignment horizontal="center"/>
    </xf>
    <xf numFmtId="166" fontId="2" fillId="2" borderId="14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1" fontId="2" fillId="2" borderId="8" xfId="0" applyNumberFormat="1" applyFont="1" applyFill="1" applyBorder="1" applyAlignment="1">
      <alignment horizontal="center"/>
    </xf>
    <xf numFmtId="1" fontId="2" fillId="2" borderId="14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65" fontId="2" fillId="6" borderId="8" xfId="0" applyNumberFormat="1" applyFont="1" applyFill="1" applyBorder="1" applyAlignment="1">
      <alignment horizontal="center"/>
    </xf>
    <xf numFmtId="165" fontId="2" fillId="6" borderId="1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44B0-11B1-4167-A730-C8E0AD00C946}">
  <dimension ref="A1:C55"/>
  <sheetViews>
    <sheetView tabSelected="1" topLeftCell="A31" workbookViewId="0">
      <selection activeCell="A55" sqref="A55"/>
    </sheetView>
  </sheetViews>
  <sheetFormatPr baseColWidth="10" defaultRowHeight="14.25" x14ac:dyDescent="0.2"/>
  <cols>
    <col min="1" max="1" width="3.7109375" style="3" customWidth="1"/>
    <col min="2" max="2" width="20" style="3" customWidth="1"/>
    <col min="3" max="3" width="70.5703125" style="3" customWidth="1"/>
    <col min="4" max="16384" width="11.42578125" style="3"/>
  </cols>
  <sheetData>
    <row r="1" spans="1:3" x14ac:dyDescent="0.2">
      <c r="A1" s="1" t="s">
        <v>13</v>
      </c>
      <c r="B1" s="2"/>
      <c r="C1" s="2"/>
    </row>
    <row r="2" spans="1:3" x14ac:dyDescent="0.2">
      <c r="A2" s="2" t="s">
        <v>86</v>
      </c>
      <c r="B2" s="4"/>
      <c r="C2" s="2"/>
    </row>
    <row r="3" spans="1:3" x14ac:dyDescent="0.2">
      <c r="A3" s="2" t="s">
        <v>87</v>
      </c>
      <c r="B3" s="4"/>
      <c r="C3" s="2"/>
    </row>
    <row r="4" spans="1:3" x14ac:dyDescent="0.2">
      <c r="A4" s="2" t="s">
        <v>14</v>
      </c>
      <c r="B4" s="2"/>
      <c r="C4" s="2"/>
    </row>
    <row r="5" spans="1:3" x14ac:dyDescent="0.2">
      <c r="A5" s="2" t="s">
        <v>102</v>
      </c>
      <c r="B5" s="2"/>
      <c r="C5" s="2"/>
    </row>
    <row r="6" spans="1:3" x14ac:dyDescent="0.2">
      <c r="A6" s="2"/>
      <c r="B6" s="2"/>
      <c r="C6" s="2"/>
    </row>
    <row r="7" spans="1:3" x14ac:dyDescent="0.2">
      <c r="A7" s="5" t="s">
        <v>0</v>
      </c>
      <c r="B7" s="6" t="s">
        <v>1</v>
      </c>
      <c r="C7" s="7" t="s">
        <v>2</v>
      </c>
    </row>
    <row r="8" spans="1:3" x14ac:dyDescent="0.2">
      <c r="A8" s="37">
        <v>1</v>
      </c>
      <c r="B8" s="38" t="s">
        <v>5</v>
      </c>
      <c r="C8" s="9" t="s">
        <v>6</v>
      </c>
    </row>
    <row r="9" spans="1:3" x14ac:dyDescent="0.2">
      <c r="A9" s="39">
        <v>2</v>
      </c>
      <c r="B9" s="40" t="s">
        <v>3</v>
      </c>
      <c r="C9" s="10" t="s">
        <v>4</v>
      </c>
    </row>
    <row r="10" spans="1:3" x14ac:dyDescent="0.2">
      <c r="A10" s="39">
        <v>3</v>
      </c>
      <c r="B10" s="40" t="s">
        <v>7</v>
      </c>
      <c r="C10" s="10" t="s">
        <v>17</v>
      </c>
    </row>
    <row r="11" spans="1:3" x14ac:dyDescent="0.2">
      <c r="A11" s="39">
        <v>4</v>
      </c>
      <c r="B11" s="41" t="s">
        <v>8</v>
      </c>
      <c r="C11" s="11" t="s">
        <v>88</v>
      </c>
    </row>
    <row r="12" spans="1:3" x14ac:dyDescent="0.2">
      <c r="A12" s="39">
        <v>5</v>
      </c>
      <c r="B12" s="42" t="s">
        <v>75</v>
      </c>
      <c r="C12" s="11" t="s">
        <v>76</v>
      </c>
    </row>
    <row r="13" spans="1:3" x14ac:dyDescent="0.2">
      <c r="A13" s="8">
        <v>6</v>
      </c>
      <c r="B13" s="43" t="s">
        <v>19</v>
      </c>
      <c r="C13" s="20" t="s">
        <v>10</v>
      </c>
    </row>
    <row r="14" spans="1:3" x14ac:dyDescent="0.2">
      <c r="A14" s="22">
        <v>7</v>
      </c>
      <c r="B14" s="44" t="s">
        <v>9</v>
      </c>
      <c r="C14" s="21" t="s">
        <v>20</v>
      </c>
    </row>
    <row r="15" spans="1:3" x14ac:dyDescent="0.2">
      <c r="A15" s="45">
        <v>8</v>
      </c>
      <c r="B15" s="46" t="s">
        <v>15</v>
      </c>
      <c r="C15" s="11" t="s">
        <v>90</v>
      </c>
    </row>
    <row r="16" spans="1:3" x14ac:dyDescent="0.2">
      <c r="A16" s="45">
        <v>9</v>
      </c>
      <c r="B16" s="46" t="s">
        <v>85</v>
      </c>
      <c r="C16" s="11" t="s">
        <v>91</v>
      </c>
    </row>
    <row r="17" spans="1:3" x14ac:dyDescent="0.2">
      <c r="A17" s="45">
        <v>10</v>
      </c>
      <c r="B17" s="47" t="s">
        <v>16</v>
      </c>
      <c r="C17" s="11" t="s">
        <v>89</v>
      </c>
    </row>
    <row r="18" spans="1:3" x14ac:dyDescent="0.2">
      <c r="A18" s="48">
        <v>11</v>
      </c>
      <c r="B18" s="49" t="s">
        <v>28</v>
      </c>
      <c r="C18" s="24" t="s">
        <v>30</v>
      </c>
    </row>
    <row r="19" spans="1:3" x14ac:dyDescent="0.2">
      <c r="A19" s="50">
        <v>12</v>
      </c>
      <c r="B19" s="51" t="s">
        <v>81</v>
      </c>
      <c r="C19" s="25" t="s">
        <v>103</v>
      </c>
    </row>
    <row r="20" spans="1:3" x14ac:dyDescent="0.2">
      <c r="A20" s="97">
        <v>13</v>
      </c>
      <c r="B20" s="51" t="s">
        <v>82</v>
      </c>
      <c r="C20" s="25" t="s">
        <v>104</v>
      </c>
    </row>
    <row r="21" spans="1:3" x14ac:dyDescent="0.2">
      <c r="A21" s="52">
        <v>14</v>
      </c>
      <c r="B21" s="53" t="s">
        <v>82</v>
      </c>
      <c r="C21" s="26" t="s">
        <v>106</v>
      </c>
    </row>
    <row r="22" spans="1:3" x14ac:dyDescent="0.2">
      <c r="A22" s="54">
        <v>15</v>
      </c>
      <c r="B22" s="55" t="s">
        <v>31</v>
      </c>
      <c r="C22" s="25" t="s">
        <v>77</v>
      </c>
    </row>
    <row r="23" spans="1:3" x14ac:dyDescent="0.2">
      <c r="A23" s="54">
        <v>16</v>
      </c>
      <c r="B23" s="55" t="s">
        <v>32</v>
      </c>
      <c r="C23" s="25" t="s">
        <v>77</v>
      </c>
    </row>
    <row r="24" spans="1:3" x14ac:dyDescent="0.2">
      <c r="A24" s="56">
        <v>17</v>
      </c>
      <c r="B24" s="57" t="s">
        <v>33</v>
      </c>
      <c r="C24" s="26" t="s">
        <v>77</v>
      </c>
    </row>
    <row r="25" spans="1:3" x14ac:dyDescent="0.2">
      <c r="A25" s="58">
        <v>18</v>
      </c>
      <c r="B25" s="59" t="s">
        <v>78</v>
      </c>
      <c r="C25" s="27" t="s">
        <v>83</v>
      </c>
    </row>
    <row r="26" spans="1:3" x14ac:dyDescent="0.2">
      <c r="A26" s="60">
        <v>19</v>
      </c>
      <c r="B26" s="61" t="s">
        <v>79</v>
      </c>
      <c r="C26" s="28" t="s">
        <v>84</v>
      </c>
    </row>
    <row r="28" spans="1:3" ht="15" x14ac:dyDescent="0.25">
      <c r="A28" s="12" t="s">
        <v>11</v>
      </c>
    </row>
    <row r="29" spans="1:3" s="2" customFormat="1" ht="12.75" x14ac:dyDescent="0.2">
      <c r="A29" s="2" t="s">
        <v>92</v>
      </c>
    </row>
    <row r="30" spans="1:3" s="2" customFormat="1" ht="12.75" x14ac:dyDescent="0.2"/>
    <row r="31" spans="1:3" s="2" customFormat="1" ht="12.75" x14ac:dyDescent="0.2">
      <c r="A31" s="2" t="s">
        <v>93</v>
      </c>
    </row>
    <row r="32" spans="1:3" s="2" customFormat="1" ht="12.75" x14ac:dyDescent="0.2"/>
    <row r="33" spans="1:1" s="2" customFormat="1" ht="12.75" x14ac:dyDescent="0.2">
      <c r="A33" s="13" t="s">
        <v>29</v>
      </c>
    </row>
    <row r="34" spans="1:1" s="2" customFormat="1" ht="12.75" x14ac:dyDescent="0.2">
      <c r="A34" s="2" t="s">
        <v>94</v>
      </c>
    </row>
    <row r="35" spans="1:1" s="2" customFormat="1" ht="12.75" x14ac:dyDescent="0.2">
      <c r="A35" s="14" t="s">
        <v>95</v>
      </c>
    </row>
    <row r="36" spans="1:1" s="2" customFormat="1" ht="12.75" x14ac:dyDescent="0.2">
      <c r="A36" s="14"/>
    </row>
    <row r="37" spans="1:1" s="2" customFormat="1" ht="12.75" x14ac:dyDescent="0.2">
      <c r="A37" s="13" t="s">
        <v>96</v>
      </c>
    </row>
    <row r="38" spans="1:1" s="2" customFormat="1" ht="12.75" x14ac:dyDescent="0.2">
      <c r="A38" s="14"/>
    </row>
    <row r="39" spans="1:1" s="2" customFormat="1" ht="12.75" x14ac:dyDescent="0.2">
      <c r="A39" s="13" t="s">
        <v>105</v>
      </c>
    </row>
    <row r="40" spans="1:1" s="2" customFormat="1" ht="12.75" x14ac:dyDescent="0.2">
      <c r="A40" s="13"/>
    </row>
    <row r="41" spans="1:1" s="2" customFormat="1" ht="12.75" x14ac:dyDescent="0.2">
      <c r="A41" s="13" t="s">
        <v>101</v>
      </c>
    </row>
    <row r="42" spans="1:1" s="2" customFormat="1" ht="12.75" x14ac:dyDescent="0.2">
      <c r="A42" s="13"/>
    </row>
    <row r="43" spans="1:1" ht="15" x14ac:dyDescent="0.25">
      <c r="A43" s="15" t="s">
        <v>12</v>
      </c>
    </row>
    <row r="45" spans="1:1" s="2" customFormat="1" ht="12.75" x14ac:dyDescent="0.2">
      <c r="A45" s="16" t="s">
        <v>97</v>
      </c>
    </row>
    <row r="46" spans="1:1" s="2" customFormat="1" ht="12.75" x14ac:dyDescent="0.2">
      <c r="A46" s="2" t="s">
        <v>18</v>
      </c>
    </row>
    <row r="47" spans="1:1" s="2" customFormat="1" ht="12.75" x14ac:dyDescent="0.2">
      <c r="A47" s="2" t="s">
        <v>98</v>
      </c>
    </row>
    <row r="48" spans="1:1" s="2" customFormat="1" ht="12.75" x14ac:dyDescent="0.2"/>
    <row r="49" spans="1:1" x14ac:dyDescent="0.2">
      <c r="A49" s="29" t="s">
        <v>100</v>
      </c>
    </row>
    <row r="50" spans="1:1" x14ac:dyDescent="0.2">
      <c r="A50" s="2" t="s">
        <v>80</v>
      </c>
    </row>
    <row r="51" spans="1:1" x14ac:dyDescent="0.2">
      <c r="A51" s="2" t="s">
        <v>99</v>
      </c>
    </row>
    <row r="53" spans="1:1" x14ac:dyDescent="0.2">
      <c r="A53" s="29" t="s">
        <v>109</v>
      </c>
    </row>
    <row r="54" spans="1:1" x14ac:dyDescent="0.2">
      <c r="A54" s="2" t="s">
        <v>108</v>
      </c>
    </row>
    <row r="55" spans="1:1" x14ac:dyDescent="0.2">
      <c r="A55" s="2" t="s">
        <v>110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D0C5-CC54-4584-99CB-F2E66E82053F}">
  <dimension ref="A1:S42"/>
  <sheetViews>
    <sheetView zoomScale="80" zoomScaleNormal="80" workbookViewId="0">
      <selection activeCell="Q46" sqref="Q46"/>
    </sheetView>
  </sheetViews>
  <sheetFormatPr baseColWidth="10" defaultRowHeight="15" x14ac:dyDescent="0.25"/>
  <cols>
    <col min="1" max="1" width="2.85546875" customWidth="1"/>
    <col min="2" max="2" width="13.28515625" customWidth="1"/>
    <col min="3" max="3" width="31.85546875" customWidth="1"/>
    <col min="4" max="4" width="13.140625" customWidth="1"/>
    <col min="5" max="5" width="13.140625" style="23" customWidth="1"/>
    <col min="9" max="10" width="18.42578125" customWidth="1"/>
    <col min="15" max="18" width="18.42578125" customWidth="1"/>
  </cols>
  <sheetData>
    <row r="1" spans="1:19" ht="15.75" thickBot="1" x14ac:dyDescent="0.3">
      <c r="A1" s="19" t="s">
        <v>5</v>
      </c>
      <c r="B1" s="17" t="s">
        <v>3</v>
      </c>
      <c r="C1" s="18" t="s">
        <v>7</v>
      </c>
      <c r="D1" s="19" t="s">
        <v>8</v>
      </c>
      <c r="E1" s="19" t="s">
        <v>75</v>
      </c>
      <c r="F1" s="19" t="s">
        <v>19</v>
      </c>
      <c r="G1" s="19" t="s">
        <v>9</v>
      </c>
      <c r="H1" s="19" t="s">
        <v>15</v>
      </c>
      <c r="I1" s="19" t="s">
        <v>85</v>
      </c>
      <c r="J1" s="19" t="s">
        <v>16</v>
      </c>
      <c r="K1" s="18" t="s">
        <v>28</v>
      </c>
      <c r="L1" s="18" t="s">
        <v>81</v>
      </c>
      <c r="M1" s="18" t="s">
        <v>82</v>
      </c>
      <c r="N1" s="18" t="s">
        <v>107</v>
      </c>
      <c r="O1" s="19" t="s">
        <v>31</v>
      </c>
      <c r="P1" s="19" t="s">
        <v>32</v>
      </c>
      <c r="Q1" s="19" t="s">
        <v>33</v>
      </c>
      <c r="R1" s="19" t="s">
        <v>78</v>
      </c>
      <c r="S1" s="19" t="s">
        <v>79</v>
      </c>
    </row>
    <row r="2" spans="1:19" x14ac:dyDescent="0.25">
      <c r="A2" s="62">
        <v>1</v>
      </c>
      <c r="B2" s="63" t="s">
        <v>21</v>
      </c>
      <c r="C2" s="63" t="s">
        <v>22</v>
      </c>
      <c r="D2" s="64" t="s">
        <v>34</v>
      </c>
      <c r="E2" s="37">
        <v>0</v>
      </c>
      <c r="F2" s="93">
        <v>32</v>
      </c>
      <c r="G2" s="89">
        <f t="shared" ref="G2:G42" si="0">F2*I2/H2</f>
        <v>20.8</v>
      </c>
      <c r="H2" s="45">
        <v>1.54</v>
      </c>
      <c r="I2" s="76">
        <v>1</v>
      </c>
      <c r="J2" s="76">
        <v>42</v>
      </c>
      <c r="K2" s="45">
        <v>1.9</v>
      </c>
      <c r="L2" s="80">
        <v>1.32E-2</v>
      </c>
      <c r="M2" s="86">
        <v>0.77</v>
      </c>
      <c r="N2" s="80">
        <v>8.6999999999999994E-3</v>
      </c>
      <c r="O2" s="83">
        <v>21.4</v>
      </c>
      <c r="P2" s="83">
        <v>21.21</v>
      </c>
      <c r="Q2" s="83">
        <v>694.05</v>
      </c>
      <c r="R2" s="30">
        <v>1.1474</v>
      </c>
      <c r="S2" s="31">
        <v>-5.0000000000000001E-4</v>
      </c>
    </row>
    <row r="3" spans="1:19" x14ac:dyDescent="0.25">
      <c r="A3" s="65">
        <v>1</v>
      </c>
      <c r="B3" s="66" t="s">
        <v>21</v>
      </c>
      <c r="C3" s="66" t="s">
        <v>22</v>
      </c>
      <c r="D3" s="67" t="s">
        <v>35</v>
      </c>
      <c r="E3" s="39">
        <v>0</v>
      </c>
      <c r="F3" s="94">
        <v>28</v>
      </c>
      <c r="G3" s="90">
        <f t="shared" si="0"/>
        <v>18.2</v>
      </c>
      <c r="H3" s="45">
        <v>1.54</v>
      </c>
      <c r="I3" s="76">
        <v>1</v>
      </c>
      <c r="J3" s="76">
        <v>42</v>
      </c>
      <c r="K3" s="45">
        <v>1.9</v>
      </c>
      <c r="L3" s="80">
        <v>6.3E-3</v>
      </c>
      <c r="M3" s="86">
        <v>0.93</v>
      </c>
      <c r="N3" s="80">
        <v>0</v>
      </c>
      <c r="O3" s="83">
        <v>21.4</v>
      </c>
      <c r="P3" s="83">
        <v>21.21</v>
      </c>
      <c r="Q3" s="83">
        <v>694.05</v>
      </c>
      <c r="R3" s="30">
        <v>1.1474</v>
      </c>
      <c r="S3" s="31">
        <v>-5.0000000000000001E-4</v>
      </c>
    </row>
    <row r="4" spans="1:19" x14ac:dyDescent="0.25">
      <c r="A4" s="65">
        <v>1</v>
      </c>
      <c r="B4" s="66" t="s">
        <v>21</v>
      </c>
      <c r="C4" s="66" t="s">
        <v>22</v>
      </c>
      <c r="D4" s="67" t="s">
        <v>36</v>
      </c>
      <c r="E4" s="39">
        <v>0</v>
      </c>
      <c r="F4" s="94">
        <v>24</v>
      </c>
      <c r="G4" s="90">
        <f t="shared" si="0"/>
        <v>15.6</v>
      </c>
      <c r="H4" s="45">
        <v>1.54</v>
      </c>
      <c r="I4" s="76">
        <v>1</v>
      </c>
      <c r="J4" s="76">
        <v>42</v>
      </c>
      <c r="K4" s="45">
        <v>1.9</v>
      </c>
      <c r="L4" s="80">
        <v>6.0000000000000001E-3</v>
      </c>
      <c r="M4" s="86">
        <v>0.88</v>
      </c>
      <c r="N4" s="80">
        <v>0</v>
      </c>
      <c r="O4" s="83">
        <v>21.4</v>
      </c>
      <c r="P4" s="83">
        <v>21.21</v>
      </c>
      <c r="Q4" s="83">
        <v>694.05</v>
      </c>
      <c r="R4" s="30">
        <v>1.1474</v>
      </c>
      <c r="S4" s="31">
        <v>-5.0000000000000001E-4</v>
      </c>
    </row>
    <row r="5" spans="1:19" x14ac:dyDescent="0.25">
      <c r="A5" s="65">
        <v>1</v>
      </c>
      <c r="B5" s="66" t="s">
        <v>21</v>
      </c>
      <c r="C5" s="66" t="s">
        <v>22</v>
      </c>
      <c r="D5" s="67" t="s">
        <v>37</v>
      </c>
      <c r="E5" s="39">
        <v>0</v>
      </c>
      <c r="F5" s="94">
        <v>20</v>
      </c>
      <c r="G5" s="90">
        <f t="shared" si="0"/>
        <v>13</v>
      </c>
      <c r="H5" s="45">
        <v>1.54</v>
      </c>
      <c r="I5" s="76">
        <v>1</v>
      </c>
      <c r="J5" s="76">
        <v>42</v>
      </c>
      <c r="K5" s="45">
        <v>1.9</v>
      </c>
      <c r="L5" s="80">
        <v>5.7000000000000002E-3</v>
      </c>
      <c r="M5" s="86">
        <v>0.81</v>
      </c>
      <c r="N5" s="80">
        <v>0</v>
      </c>
      <c r="O5" s="83">
        <v>21.4</v>
      </c>
      <c r="P5" s="83">
        <v>21.21</v>
      </c>
      <c r="Q5" s="83">
        <v>694.05</v>
      </c>
      <c r="R5" s="30">
        <v>1.1474</v>
      </c>
      <c r="S5" s="31">
        <v>-5.0000000000000001E-4</v>
      </c>
    </row>
    <row r="6" spans="1:19" x14ac:dyDescent="0.25">
      <c r="A6" s="65">
        <v>1</v>
      </c>
      <c r="B6" s="66" t="s">
        <v>21</v>
      </c>
      <c r="C6" s="66" t="s">
        <v>22</v>
      </c>
      <c r="D6" s="67" t="s">
        <v>38</v>
      </c>
      <c r="E6" s="39">
        <v>0</v>
      </c>
      <c r="F6" s="94">
        <v>17</v>
      </c>
      <c r="G6" s="90">
        <f t="shared" si="0"/>
        <v>11</v>
      </c>
      <c r="H6" s="45">
        <v>1.54</v>
      </c>
      <c r="I6" s="76">
        <v>1</v>
      </c>
      <c r="J6" s="76">
        <v>42</v>
      </c>
      <c r="K6" s="45">
        <v>1.9</v>
      </c>
      <c r="L6" s="80">
        <v>5.3E-3</v>
      </c>
      <c r="M6" s="86">
        <v>0.72</v>
      </c>
      <c r="N6" s="80">
        <v>0</v>
      </c>
      <c r="O6" s="83">
        <v>21.4</v>
      </c>
      <c r="P6" s="83">
        <v>21.21</v>
      </c>
      <c r="Q6" s="83">
        <v>694.05</v>
      </c>
      <c r="R6" s="30">
        <v>1.1474</v>
      </c>
      <c r="S6" s="31">
        <v>-5.0000000000000001E-4</v>
      </c>
    </row>
    <row r="7" spans="1:19" x14ac:dyDescent="0.25">
      <c r="A7" s="65">
        <v>1</v>
      </c>
      <c r="B7" s="66" t="s">
        <v>21</v>
      </c>
      <c r="C7" s="66" t="s">
        <v>22</v>
      </c>
      <c r="D7" s="67" t="s">
        <v>39</v>
      </c>
      <c r="E7" s="39">
        <v>0</v>
      </c>
      <c r="F7" s="94">
        <v>13</v>
      </c>
      <c r="G7" s="90">
        <f t="shared" si="0"/>
        <v>8.4</v>
      </c>
      <c r="H7" s="45">
        <v>1.54</v>
      </c>
      <c r="I7" s="76">
        <v>1</v>
      </c>
      <c r="J7" s="76">
        <v>42</v>
      </c>
      <c r="K7" s="45">
        <v>1.9</v>
      </c>
      <c r="L7" s="80">
        <v>5.3E-3</v>
      </c>
      <c r="M7" s="86">
        <v>0.65</v>
      </c>
      <c r="N7" s="80">
        <v>0</v>
      </c>
      <c r="O7" s="83">
        <v>21.4</v>
      </c>
      <c r="P7" s="83">
        <v>21.21</v>
      </c>
      <c r="Q7" s="83">
        <v>694.05</v>
      </c>
      <c r="R7" s="30">
        <v>1.1474</v>
      </c>
      <c r="S7" s="31">
        <v>-5.0000000000000001E-4</v>
      </c>
    </row>
    <row r="8" spans="1:19" x14ac:dyDescent="0.25">
      <c r="A8" s="65">
        <v>1</v>
      </c>
      <c r="B8" s="66" t="s">
        <v>21</v>
      </c>
      <c r="C8" s="66" t="s">
        <v>22</v>
      </c>
      <c r="D8" s="67" t="s">
        <v>40</v>
      </c>
      <c r="E8" s="39">
        <v>0</v>
      </c>
      <c r="F8" s="94">
        <v>10</v>
      </c>
      <c r="G8" s="90">
        <f t="shared" si="0"/>
        <v>6.5</v>
      </c>
      <c r="H8" s="45">
        <v>1.54</v>
      </c>
      <c r="I8" s="76">
        <v>1</v>
      </c>
      <c r="J8" s="76">
        <v>42</v>
      </c>
      <c r="K8" s="45">
        <v>1.9</v>
      </c>
      <c r="L8" s="80">
        <v>1.29E-2</v>
      </c>
      <c r="M8" s="86">
        <v>0.4</v>
      </c>
      <c r="N8" s="80">
        <v>3.3799999999999997E-2</v>
      </c>
      <c r="O8" s="83">
        <v>21.4</v>
      </c>
      <c r="P8" s="83">
        <v>21.21</v>
      </c>
      <c r="Q8" s="83">
        <v>694.05</v>
      </c>
      <c r="R8" s="30">
        <v>1.1474</v>
      </c>
      <c r="S8" s="31">
        <v>-5.0000000000000001E-4</v>
      </c>
    </row>
    <row r="9" spans="1:19" x14ac:dyDescent="0.25">
      <c r="A9" s="65">
        <v>1</v>
      </c>
      <c r="B9" s="66" t="s">
        <v>21</v>
      </c>
      <c r="C9" s="66" t="s">
        <v>22</v>
      </c>
      <c r="D9" s="67" t="s">
        <v>41</v>
      </c>
      <c r="E9" s="39">
        <v>0</v>
      </c>
      <c r="F9" s="94">
        <v>6</v>
      </c>
      <c r="G9" s="90">
        <f t="shared" si="0"/>
        <v>3.9</v>
      </c>
      <c r="H9" s="45">
        <v>1.54</v>
      </c>
      <c r="I9" s="76">
        <v>1</v>
      </c>
      <c r="J9" s="76">
        <v>42</v>
      </c>
      <c r="K9" s="45">
        <v>1.9</v>
      </c>
      <c r="L9" s="80">
        <v>6.3E-3</v>
      </c>
      <c r="M9" s="86">
        <v>0.41</v>
      </c>
      <c r="N9" s="80">
        <v>7.4999999999999997E-3</v>
      </c>
      <c r="O9" s="83">
        <v>21.4</v>
      </c>
      <c r="P9" s="83">
        <v>21.21</v>
      </c>
      <c r="Q9" s="83">
        <v>694.05</v>
      </c>
      <c r="R9" s="30">
        <v>1.1474</v>
      </c>
      <c r="S9" s="31">
        <v>-5.0000000000000001E-4</v>
      </c>
    </row>
    <row r="10" spans="1:19" x14ac:dyDescent="0.25">
      <c r="A10" s="65">
        <v>1</v>
      </c>
      <c r="B10" s="66" t="s">
        <v>21</v>
      </c>
      <c r="C10" s="66" t="s">
        <v>22</v>
      </c>
      <c r="D10" s="67" t="s">
        <v>42</v>
      </c>
      <c r="E10" s="39">
        <v>0</v>
      </c>
      <c r="F10" s="94">
        <v>2</v>
      </c>
      <c r="G10" s="90">
        <f t="shared" si="0"/>
        <v>1.3</v>
      </c>
      <c r="H10" s="45">
        <v>1.54</v>
      </c>
      <c r="I10" s="76">
        <v>1</v>
      </c>
      <c r="J10" s="76">
        <v>42</v>
      </c>
      <c r="K10" s="45">
        <v>1.9</v>
      </c>
      <c r="L10" s="80">
        <v>7.0000000000000001E-3</v>
      </c>
      <c r="M10" s="86">
        <v>0.21</v>
      </c>
      <c r="N10" s="80">
        <v>0</v>
      </c>
      <c r="O10" s="83">
        <v>21.4</v>
      </c>
      <c r="P10" s="83">
        <v>21.21</v>
      </c>
      <c r="Q10" s="83">
        <v>694.05</v>
      </c>
      <c r="R10" s="30">
        <v>1.1474</v>
      </c>
      <c r="S10" s="31">
        <v>-5.0000000000000001E-4</v>
      </c>
    </row>
    <row r="11" spans="1:19" x14ac:dyDescent="0.25">
      <c r="A11" s="68">
        <v>1</v>
      </c>
      <c r="B11" s="69" t="s">
        <v>21</v>
      </c>
      <c r="C11" s="69" t="s">
        <v>22</v>
      </c>
      <c r="D11" s="70" t="s">
        <v>43</v>
      </c>
      <c r="E11" s="71">
        <v>0</v>
      </c>
      <c r="F11" s="95">
        <v>0</v>
      </c>
      <c r="G11" s="91">
        <f t="shared" si="0"/>
        <v>0</v>
      </c>
      <c r="H11" s="48">
        <v>1.54</v>
      </c>
      <c r="I11" s="48">
        <v>1</v>
      </c>
      <c r="J11" s="77">
        <v>42</v>
      </c>
      <c r="K11" s="48">
        <v>1.9</v>
      </c>
      <c r="L11" s="81">
        <v>0</v>
      </c>
      <c r="M11" s="87">
        <v>0</v>
      </c>
      <c r="N11" s="98">
        <v>0</v>
      </c>
      <c r="O11" s="84">
        <v>21.4</v>
      </c>
      <c r="P11" s="84">
        <v>21.21</v>
      </c>
      <c r="Q11" s="84">
        <v>694.05</v>
      </c>
      <c r="R11" s="32">
        <v>1.1474</v>
      </c>
      <c r="S11" s="33">
        <v>-5.0000000000000001E-4</v>
      </c>
    </row>
    <row r="12" spans="1:19" x14ac:dyDescent="0.25">
      <c r="A12" s="62">
        <v>2</v>
      </c>
      <c r="B12" s="63" t="s">
        <v>23</v>
      </c>
      <c r="C12" s="63" t="s">
        <v>24</v>
      </c>
      <c r="D12" s="67" t="s">
        <v>44</v>
      </c>
      <c r="E12" s="39">
        <v>0</v>
      </c>
      <c r="F12" s="93">
        <v>58</v>
      </c>
      <c r="G12" s="90">
        <f t="shared" si="0"/>
        <v>51.8</v>
      </c>
      <c r="H12" s="45">
        <v>1.1200000000000001</v>
      </c>
      <c r="I12" s="76">
        <v>1</v>
      </c>
      <c r="J12" s="76">
        <v>58</v>
      </c>
      <c r="K12" s="45">
        <v>36.9</v>
      </c>
      <c r="L12" s="80">
        <v>5.4000000000000003E-3</v>
      </c>
      <c r="M12" s="86">
        <v>1</v>
      </c>
      <c r="N12" s="80">
        <v>5.4300000000000001E-2</v>
      </c>
      <c r="O12" s="83">
        <v>52.48</v>
      </c>
      <c r="P12" s="83">
        <v>15.79</v>
      </c>
      <c r="Q12" s="83">
        <v>1339.38</v>
      </c>
      <c r="R12" s="30">
        <v>1.1986000000000001</v>
      </c>
      <c r="S12" s="34">
        <v>2.8E-3</v>
      </c>
    </row>
    <row r="13" spans="1:19" x14ac:dyDescent="0.25">
      <c r="A13" s="65">
        <v>2</v>
      </c>
      <c r="B13" s="66" t="s">
        <v>23</v>
      </c>
      <c r="C13" s="66" t="s">
        <v>24</v>
      </c>
      <c r="D13" s="67" t="s">
        <v>45</v>
      </c>
      <c r="E13" s="39">
        <v>0</v>
      </c>
      <c r="F13" s="94">
        <v>50</v>
      </c>
      <c r="G13" s="90">
        <f t="shared" si="0"/>
        <v>44.6</v>
      </c>
      <c r="H13" s="45">
        <v>1.1200000000000001</v>
      </c>
      <c r="I13" s="76">
        <v>1</v>
      </c>
      <c r="J13" s="76">
        <v>58</v>
      </c>
      <c r="K13" s="45">
        <v>36.9</v>
      </c>
      <c r="L13" s="80">
        <v>3.3999999999999998E-3</v>
      </c>
      <c r="M13" s="86">
        <v>0.99</v>
      </c>
      <c r="N13" s="80">
        <v>0.1164</v>
      </c>
      <c r="O13" s="83">
        <v>52.48</v>
      </c>
      <c r="P13" s="83">
        <v>15.79</v>
      </c>
      <c r="Q13" s="83">
        <v>1339.38</v>
      </c>
      <c r="R13" s="30">
        <v>1.1986000000000001</v>
      </c>
      <c r="S13" s="31">
        <v>2.8E-3</v>
      </c>
    </row>
    <row r="14" spans="1:19" x14ac:dyDescent="0.25">
      <c r="A14" s="65">
        <v>2</v>
      </c>
      <c r="B14" s="66" t="s">
        <v>23</v>
      </c>
      <c r="C14" s="66" t="s">
        <v>24</v>
      </c>
      <c r="D14" s="67" t="s">
        <v>46</v>
      </c>
      <c r="E14" s="39">
        <v>0</v>
      </c>
      <c r="F14" s="94">
        <v>41</v>
      </c>
      <c r="G14" s="90">
        <f t="shared" si="0"/>
        <v>36.6</v>
      </c>
      <c r="H14" s="45">
        <v>1.1200000000000001</v>
      </c>
      <c r="I14" s="76">
        <v>1</v>
      </c>
      <c r="J14" s="76">
        <v>58</v>
      </c>
      <c r="K14" s="45">
        <v>36.9</v>
      </c>
      <c r="L14" s="80">
        <v>2.7000000000000001E-3</v>
      </c>
      <c r="M14" s="86">
        <v>1</v>
      </c>
      <c r="N14" s="80">
        <v>0.11940000000000001</v>
      </c>
      <c r="O14" s="83">
        <v>52.48</v>
      </c>
      <c r="P14" s="83">
        <v>15.79</v>
      </c>
      <c r="Q14" s="83">
        <v>1339.38</v>
      </c>
      <c r="R14" s="30">
        <v>1.1986000000000001</v>
      </c>
      <c r="S14" s="31">
        <v>2.8E-3</v>
      </c>
    </row>
    <row r="15" spans="1:19" x14ac:dyDescent="0.25">
      <c r="A15" s="65">
        <v>2</v>
      </c>
      <c r="B15" s="66" t="s">
        <v>23</v>
      </c>
      <c r="C15" s="66" t="s">
        <v>24</v>
      </c>
      <c r="D15" s="67" t="s">
        <v>47</v>
      </c>
      <c r="E15" s="39">
        <v>0</v>
      </c>
      <c r="F15" s="94">
        <v>32</v>
      </c>
      <c r="G15" s="90">
        <f t="shared" si="0"/>
        <v>28.6</v>
      </c>
      <c r="H15" s="45">
        <v>1.1200000000000001</v>
      </c>
      <c r="I15" s="76">
        <v>1</v>
      </c>
      <c r="J15" s="76">
        <v>58</v>
      </c>
      <c r="K15" s="45">
        <v>36.9</v>
      </c>
      <c r="L15" s="80">
        <v>2.3E-3</v>
      </c>
      <c r="M15" s="86">
        <v>1</v>
      </c>
      <c r="N15" s="80">
        <v>0.1002</v>
      </c>
      <c r="O15" s="83">
        <v>52.48</v>
      </c>
      <c r="P15" s="83">
        <v>15.79</v>
      </c>
      <c r="Q15" s="83">
        <v>1339.38</v>
      </c>
      <c r="R15" s="30">
        <v>1.1986000000000001</v>
      </c>
      <c r="S15" s="31">
        <v>2.8E-3</v>
      </c>
    </row>
    <row r="16" spans="1:19" x14ac:dyDescent="0.25">
      <c r="A16" s="65">
        <v>2</v>
      </c>
      <c r="B16" s="66" t="s">
        <v>23</v>
      </c>
      <c r="C16" s="66" t="s">
        <v>24</v>
      </c>
      <c r="D16" s="67" t="s">
        <v>48</v>
      </c>
      <c r="E16" s="39">
        <v>0</v>
      </c>
      <c r="F16" s="94">
        <v>24</v>
      </c>
      <c r="G16" s="90">
        <f t="shared" si="0"/>
        <v>21.4</v>
      </c>
      <c r="H16" s="45">
        <v>1.1200000000000001</v>
      </c>
      <c r="I16" s="76">
        <v>1</v>
      </c>
      <c r="J16" s="76">
        <v>58</v>
      </c>
      <c r="K16" s="45">
        <v>36.9</v>
      </c>
      <c r="L16" s="80">
        <v>1.6000000000000001E-3</v>
      </c>
      <c r="M16" s="86">
        <v>1</v>
      </c>
      <c r="N16" s="80">
        <v>9.3600000000000003E-2</v>
      </c>
      <c r="O16" s="83">
        <v>52.48</v>
      </c>
      <c r="P16" s="83">
        <v>15.79</v>
      </c>
      <c r="Q16" s="83">
        <v>1339.38</v>
      </c>
      <c r="R16" s="30">
        <v>1.1986000000000001</v>
      </c>
      <c r="S16" s="31">
        <v>2.8E-3</v>
      </c>
    </row>
    <row r="17" spans="1:19" x14ac:dyDescent="0.25">
      <c r="A17" s="65">
        <v>2</v>
      </c>
      <c r="B17" s="66" t="s">
        <v>23</v>
      </c>
      <c r="C17" s="66" t="s">
        <v>24</v>
      </c>
      <c r="D17" s="67" t="s">
        <v>49</v>
      </c>
      <c r="E17" s="39">
        <v>0</v>
      </c>
      <c r="F17" s="94">
        <v>17</v>
      </c>
      <c r="G17" s="90">
        <f t="shared" si="0"/>
        <v>15.2</v>
      </c>
      <c r="H17" s="45">
        <v>1.1200000000000001</v>
      </c>
      <c r="I17" s="76">
        <v>1</v>
      </c>
      <c r="J17" s="76">
        <v>58</v>
      </c>
      <c r="K17" s="45">
        <v>36.9</v>
      </c>
      <c r="L17" s="80">
        <v>1.1999999999999999E-3</v>
      </c>
      <c r="M17" s="86">
        <v>1</v>
      </c>
      <c r="N17" s="80">
        <v>4.4699999999999997E-2</v>
      </c>
      <c r="O17" s="83">
        <v>52.48</v>
      </c>
      <c r="P17" s="83">
        <v>15.79</v>
      </c>
      <c r="Q17" s="83">
        <v>1339.38</v>
      </c>
      <c r="R17" s="30">
        <v>1.1986000000000001</v>
      </c>
      <c r="S17" s="31">
        <v>2.8E-3</v>
      </c>
    </row>
    <row r="18" spans="1:19" x14ac:dyDescent="0.25">
      <c r="A18" s="65">
        <v>2</v>
      </c>
      <c r="B18" s="66" t="s">
        <v>23</v>
      </c>
      <c r="C18" s="66" t="s">
        <v>24</v>
      </c>
      <c r="D18" s="67" t="s">
        <v>50</v>
      </c>
      <c r="E18" s="39">
        <v>0</v>
      </c>
      <c r="F18" s="94">
        <v>13</v>
      </c>
      <c r="G18" s="90">
        <f t="shared" si="0"/>
        <v>11.6</v>
      </c>
      <c r="H18" s="45">
        <v>1.1200000000000001</v>
      </c>
      <c r="I18" s="76">
        <v>1</v>
      </c>
      <c r="J18" s="76">
        <v>58</v>
      </c>
      <c r="K18" s="45">
        <v>36.9</v>
      </c>
      <c r="L18" s="80">
        <v>1E-3</v>
      </c>
      <c r="M18" s="86">
        <v>0.96</v>
      </c>
      <c r="N18" s="80">
        <v>0</v>
      </c>
      <c r="O18" s="83">
        <v>52.48</v>
      </c>
      <c r="P18" s="83">
        <v>15.79</v>
      </c>
      <c r="Q18" s="83">
        <v>1339.38</v>
      </c>
      <c r="R18" s="30">
        <v>1.1986000000000001</v>
      </c>
      <c r="S18" s="31">
        <v>2.8E-3</v>
      </c>
    </row>
    <row r="19" spans="1:19" x14ac:dyDescent="0.25">
      <c r="A19" s="65">
        <v>2</v>
      </c>
      <c r="B19" s="66" t="s">
        <v>23</v>
      </c>
      <c r="C19" s="66" t="s">
        <v>24</v>
      </c>
      <c r="D19" s="67" t="s">
        <v>51</v>
      </c>
      <c r="E19" s="39">
        <v>0</v>
      </c>
      <c r="F19" s="94">
        <v>9</v>
      </c>
      <c r="G19" s="90">
        <f t="shared" si="0"/>
        <v>8</v>
      </c>
      <c r="H19" s="45">
        <v>1.1200000000000001</v>
      </c>
      <c r="I19" s="76">
        <v>1</v>
      </c>
      <c r="J19" s="76">
        <v>58</v>
      </c>
      <c r="K19" s="45">
        <v>36.9</v>
      </c>
      <c r="L19" s="80">
        <v>2E-3</v>
      </c>
      <c r="M19" s="86">
        <v>0.56999999999999995</v>
      </c>
      <c r="N19" s="80">
        <v>0.14399999999999999</v>
      </c>
      <c r="O19" s="83">
        <v>52.48</v>
      </c>
      <c r="P19" s="83">
        <v>15.79</v>
      </c>
      <c r="Q19" s="83">
        <v>1339.38</v>
      </c>
      <c r="R19" s="30">
        <v>1.1986000000000001</v>
      </c>
      <c r="S19" s="31">
        <v>2.8E-3</v>
      </c>
    </row>
    <row r="20" spans="1:19" x14ac:dyDescent="0.25">
      <c r="A20" s="65">
        <v>2</v>
      </c>
      <c r="B20" s="66" t="s">
        <v>23</v>
      </c>
      <c r="C20" s="66" t="s">
        <v>24</v>
      </c>
      <c r="D20" s="67" t="s">
        <v>52</v>
      </c>
      <c r="E20" s="39">
        <v>0</v>
      </c>
      <c r="F20" s="94">
        <v>4</v>
      </c>
      <c r="G20" s="90">
        <f t="shared" si="0"/>
        <v>3.6</v>
      </c>
      <c r="H20" s="45">
        <v>1.1200000000000001</v>
      </c>
      <c r="I20" s="76">
        <v>1</v>
      </c>
      <c r="J20" s="76">
        <v>58</v>
      </c>
      <c r="K20" s="45">
        <v>36.9</v>
      </c>
      <c r="L20" s="80">
        <v>1.5E-3</v>
      </c>
      <c r="M20" s="86">
        <v>0.37</v>
      </c>
      <c r="N20" s="80">
        <v>0</v>
      </c>
      <c r="O20" s="83">
        <v>52.48</v>
      </c>
      <c r="P20" s="83">
        <v>15.79</v>
      </c>
      <c r="Q20" s="83">
        <v>1339.38</v>
      </c>
      <c r="R20" s="30">
        <v>1.1986000000000001</v>
      </c>
      <c r="S20" s="31">
        <v>2.8E-3</v>
      </c>
    </row>
    <row r="21" spans="1:19" x14ac:dyDescent="0.25">
      <c r="A21" s="65">
        <v>2</v>
      </c>
      <c r="B21" s="69" t="s">
        <v>23</v>
      </c>
      <c r="C21" s="69" t="s">
        <v>24</v>
      </c>
      <c r="D21" s="70" t="s">
        <v>53</v>
      </c>
      <c r="E21" s="71">
        <v>0</v>
      </c>
      <c r="F21" s="95">
        <v>0</v>
      </c>
      <c r="G21" s="91">
        <f t="shared" si="0"/>
        <v>0</v>
      </c>
      <c r="H21" s="48">
        <v>1.1200000000000001</v>
      </c>
      <c r="I21" s="48">
        <v>1</v>
      </c>
      <c r="J21" s="77">
        <v>58</v>
      </c>
      <c r="K21" s="48">
        <v>36.9</v>
      </c>
      <c r="L21" s="81">
        <v>0</v>
      </c>
      <c r="M21" s="87">
        <v>0</v>
      </c>
      <c r="N21" s="98">
        <v>0</v>
      </c>
      <c r="O21" s="84">
        <v>52.48</v>
      </c>
      <c r="P21" s="84">
        <v>15.79</v>
      </c>
      <c r="Q21" s="84">
        <v>1339.38</v>
      </c>
      <c r="R21" s="32">
        <v>1.1986000000000001</v>
      </c>
      <c r="S21" s="33">
        <v>2.8E-3</v>
      </c>
    </row>
    <row r="22" spans="1:19" x14ac:dyDescent="0.25">
      <c r="A22" s="62">
        <v>3</v>
      </c>
      <c r="B22" s="63" t="s">
        <v>25</v>
      </c>
      <c r="C22" s="63" t="s">
        <v>26</v>
      </c>
      <c r="D22" s="67" t="s">
        <v>54</v>
      </c>
      <c r="E22" s="39">
        <v>0</v>
      </c>
      <c r="F22" s="93">
        <v>70</v>
      </c>
      <c r="G22" s="90">
        <f t="shared" si="0"/>
        <v>109.4</v>
      </c>
      <c r="H22" s="45">
        <v>0.64</v>
      </c>
      <c r="I22" s="76">
        <v>1</v>
      </c>
      <c r="J22" s="76">
        <v>76</v>
      </c>
      <c r="K22" s="45">
        <v>55.8</v>
      </c>
      <c r="L22" s="80">
        <v>4.4499999999999998E-2</v>
      </c>
      <c r="M22" s="86">
        <v>0.51</v>
      </c>
      <c r="N22" s="80">
        <v>1.18E-2</v>
      </c>
      <c r="O22" s="83">
        <v>99.22</v>
      </c>
      <c r="P22" s="83">
        <v>11.24</v>
      </c>
      <c r="Q22" s="83">
        <v>300.33</v>
      </c>
      <c r="R22" s="30">
        <v>1.2707999999999999</v>
      </c>
      <c r="S22" s="31">
        <v>8.6999999999999994E-3</v>
      </c>
    </row>
    <row r="23" spans="1:19" x14ac:dyDescent="0.25">
      <c r="A23" s="65">
        <v>3</v>
      </c>
      <c r="B23" s="66" t="s">
        <v>25</v>
      </c>
      <c r="C23" s="66" t="s">
        <v>26</v>
      </c>
      <c r="D23" s="67" t="s">
        <v>55</v>
      </c>
      <c r="E23" s="39">
        <v>0</v>
      </c>
      <c r="F23" s="94">
        <v>62</v>
      </c>
      <c r="G23" s="90">
        <f t="shared" si="0"/>
        <v>96.9</v>
      </c>
      <c r="H23" s="45">
        <v>0.64</v>
      </c>
      <c r="I23" s="76">
        <v>1</v>
      </c>
      <c r="J23" s="76">
        <v>76</v>
      </c>
      <c r="K23" s="45">
        <v>55.8</v>
      </c>
      <c r="L23" s="80">
        <v>3.7600000000000001E-2</v>
      </c>
      <c r="M23" s="86">
        <v>0.53</v>
      </c>
      <c r="N23" s="80">
        <v>1.6199999999999999E-2</v>
      </c>
      <c r="O23" s="83">
        <v>99.22</v>
      </c>
      <c r="P23" s="83">
        <v>11.24</v>
      </c>
      <c r="Q23" s="83">
        <v>300.33</v>
      </c>
      <c r="R23" s="30">
        <v>1.2707999999999999</v>
      </c>
      <c r="S23" s="31">
        <v>8.6999999999999994E-3</v>
      </c>
    </row>
    <row r="24" spans="1:19" x14ac:dyDescent="0.25">
      <c r="A24" s="65">
        <v>3</v>
      </c>
      <c r="B24" s="66" t="s">
        <v>25</v>
      </c>
      <c r="C24" s="66" t="s">
        <v>26</v>
      </c>
      <c r="D24" s="67" t="s">
        <v>56</v>
      </c>
      <c r="E24" s="39">
        <v>0</v>
      </c>
      <c r="F24" s="94">
        <v>57</v>
      </c>
      <c r="G24" s="90">
        <f t="shared" si="0"/>
        <v>89.1</v>
      </c>
      <c r="H24" s="45">
        <v>0.64</v>
      </c>
      <c r="I24" s="76">
        <v>1</v>
      </c>
      <c r="J24" s="76">
        <v>76</v>
      </c>
      <c r="K24" s="45">
        <v>55.8</v>
      </c>
      <c r="L24" s="80">
        <v>3.3599999999999998E-2</v>
      </c>
      <c r="M24" s="86">
        <v>0.53</v>
      </c>
      <c r="N24" s="80">
        <v>1.9199999999999998E-2</v>
      </c>
      <c r="O24" s="83">
        <v>99.22</v>
      </c>
      <c r="P24" s="83">
        <v>11.24</v>
      </c>
      <c r="Q24" s="83">
        <v>300.33</v>
      </c>
      <c r="R24" s="30">
        <v>1.2707999999999999</v>
      </c>
      <c r="S24" s="31">
        <v>8.6999999999999994E-3</v>
      </c>
    </row>
    <row r="25" spans="1:19" x14ac:dyDescent="0.25">
      <c r="A25" s="65">
        <v>3</v>
      </c>
      <c r="B25" s="66" t="s">
        <v>25</v>
      </c>
      <c r="C25" s="66" t="s">
        <v>26</v>
      </c>
      <c r="D25" s="67" t="s">
        <v>57</v>
      </c>
      <c r="E25" s="39">
        <v>0</v>
      </c>
      <c r="F25" s="94">
        <v>50</v>
      </c>
      <c r="G25" s="90">
        <f t="shared" si="0"/>
        <v>78.099999999999994</v>
      </c>
      <c r="H25" s="45">
        <v>0.64</v>
      </c>
      <c r="I25" s="76">
        <v>1</v>
      </c>
      <c r="J25" s="76">
        <v>76</v>
      </c>
      <c r="K25" s="45">
        <v>55.8</v>
      </c>
      <c r="L25" s="80">
        <v>2.7E-2</v>
      </c>
      <c r="M25" s="86">
        <v>0.54</v>
      </c>
      <c r="N25" s="80">
        <v>2.2200000000000001E-2</v>
      </c>
      <c r="O25" s="83">
        <v>99.22</v>
      </c>
      <c r="P25" s="83">
        <v>11.24</v>
      </c>
      <c r="Q25" s="83">
        <v>300.33</v>
      </c>
      <c r="R25" s="30">
        <v>1.2707999999999999</v>
      </c>
      <c r="S25" s="31">
        <v>8.6999999999999994E-3</v>
      </c>
    </row>
    <row r="26" spans="1:19" x14ac:dyDescent="0.25">
      <c r="A26" s="65">
        <v>3</v>
      </c>
      <c r="B26" s="66" t="s">
        <v>25</v>
      </c>
      <c r="C26" s="66" t="s">
        <v>26</v>
      </c>
      <c r="D26" s="67" t="s">
        <v>58</v>
      </c>
      <c r="E26" s="39">
        <v>0</v>
      </c>
      <c r="F26" s="94">
        <v>46</v>
      </c>
      <c r="G26" s="90">
        <f t="shared" si="0"/>
        <v>71.900000000000006</v>
      </c>
      <c r="H26" s="45">
        <v>0.64</v>
      </c>
      <c r="I26" s="76">
        <v>1</v>
      </c>
      <c r="J26" s="76">
        <v>76</v>
      </c>
      <c r="K26" s="45">
        <v>55.8</v>
      </c>
      <c r="L26" s="80">
        <v>2.2200000000000001E-2</v>
      </c>
      <c r="M26" s="86">
        <v>0.54</v>
      </c>
      <c r="N26" s="80">
        <v>2.3E-2</v>
      </c>
      <c r="O26" s="83">
        <v>99.22</v>
      </c>
      <c r="P26" s="83">
        <v>11.24</v>
      </c>
      <c r="Q26" s="83">
        <v>300.33</v>
      </c>
      <c r="R26" s="30">
        <v>1.2707999999999999</v>
      </c>
      <c r="S26" s="31">
        <v>8.6999999999999994E-3</v>
      </c>
    </row>
    <row r="27" spans="1:19" x14ac:dyDescent="0.25">
      <c r="A27" s="65">
        <v>3</v>
      </c>
      <c r="B27" s="66" t="s">
        <v>25</v>
      </c>
      <c r="C27" s="66" t="s">
        <v>26</v>
      </c>
      <c r="D27" s="67" t="s">
        <v>59</v>
      </c>
      <c r="E27" s="39">
        <v>0</v>
      </c>
      <c r="F27" s="94">
        <v>39</v>
      </c>
      <c r="G27" s="90">
        <f t="shared" si="0"/>
        <v>60.9</v>
      </c>
      <c r="H27" s="45">
        <v>0.64</v>
      </c>
      <c r="I27" s="76">
        <v>1</v>
      </c>
      <c r="J27" s="76">
        <v>76</v>
      </c>
      <c r="K27" s="45">
        <v>55.8</v>
      </c>
      <c r="L27" s="80">
        <v>1.7000000000000001E-2</v>
      </c>
      <c r="M27" s="86">
        <v>0.55000000000000004</v>
      </c>
      <c r="N27" s="80">
        <v>1.9900000000000001E-2</v>
      </c>
      <c r="O27" s="83">
        <v>99.22</v>
      </c>
      <c r="P27" s="83">
        <v>11.24</v>
      </c>
      <c r="Q27" s="83">
        <v>300.33</v>
      </c>
      <c r="R27" s="30">
        <v>1.2707999999999999</v>
      </c>
      <c r="S27" s="31">
        <v>8.6999999999999994E-3</v>
      </c>
    </row>
    <row r="28" spans="1:19" x14ac:dyDescent="0.25">
      <c r="A28" s="65">
        <v>3</v>
      </c>
      <c r="B28" s="66" t="s">
        <v>25</v>
      </c>
      <c r="C28" s="66" t="s">
        <v>26</v>
      </c>
      <c r="D28" s="67" t="s">
        <v>60</v>
      </c>
      <c r="E28" s="39">
        <v>0</v>
      </c>
      <c r="F28" s="94">
        <v>34</v>
      </c>
      <c r="G28" s="90">
        <f t="shared" si="0"/>
        <v>53.1</v>
      </c>
      <c r="H28" s="45">
        <v>0.64</v>
      </c>
      <c r="I28" s="76">
        <v>1</v>
      </c>
      <c r="J28" s="76">
        <v>76</v>
      </c>
      <c r="K28" s="45">
        <v>55.8</v>
      </c>
      <c r="L28" s="80">
        <v>1.43E-2</v>
      </c>
      <c r="M28" s="86">
        <v>0.54</v>
      </c>
      <c r="N28" s="80">
        <v>1.9300000000000001E-2</v>
      </c>
      <c r="O28" s="83">
        <v>99.22</v>
      </c>
      <c r="P28" s="83">
        <v>11.24</v>
      </c>
      <c r="Q28" s="83">
        <v>300.33</v>
      </c>
      <c r="R28" s="30">
        <v>1.2707999999999999</v>
      </c>
      <c r="S28" s="31">
        <v>8.6999999999999994E-3</v>
      </c>
    </row>
    <row r="29" spans="1:19" x14ac:dyDescent="0.25">
      <c r="A29" s="65">
        <v>3</v>
      </c>
      <c r="B29" s="66" t="s">
        <v>25</v>
      </c>
      <c r="C29" s="66" t="s">
        <v>26</v>
      </c>
      <c r="D29" s="67" t="s">
        <v>61</v>
      </c>
      <c r="E29" s="39">
        <v>0</v>
      </c>
      <c r="F29" s="94">
        <v>28</v>
      </c>
      <c r="G29" s="90">
        <f t="shared" si="0"/>
        <v>43.8</v>
      </c>
      <c r="H29" s="45">
        <v>0.64</v>
      </c>
      <c r="I29" s="76">
        <v>1</v>
      </c>
      <c r="J29" s="76">
        <v>76</v>
      </c>
      <c r="K29" s="45">
        <v>55.8</v>
      </c>
      <c r="L29" s="80">
        <v>1.21E-2</v>
      </c>
      <c r="M29" s="86">
        <v>0.53</v>
      </c>
      <c r="N29" s="80">
        <v>1.6799999999999999E-2</v>
      </c>
      <c r="O29" s="83">
        <v>99.22</v>
      </c>
      <c r="P29" s="83">
        <v>11.24</v>
      </c>
      <c r="Q29" s="83">
        <v>300.33</v>
      </c>
      <c r="R29" s="30">
        <v>1.2707999999999999</v>
      </c>
      <c r="S29" s="31">
        <v>8.6999999999999994E-3</v>
      </c>
    </row>
    <row r="30" spans="1:19" x14ac:dyDescent="0.25">
      <c r="A30" s="65">
        <v>3</v>
      </c>
      <c r="B30" s="66" t="s">
        <v>25</v>
      </c>
      <c r="C30" s="66" t="s">
        <v>26</v>
      </c>
      <c r="D30" s="67" t="s">
        <v>62</v>
      </c>
      <c r="E30" s="39">
        <v>0</v>
      </c>
      <c r="F30" s="94">
        <v>23</v>
      </c>
      <c r="G30" s="90">
        <f t="shared" si="0"/>
        <v>35.9</v>
      </c>
      <c r="H30" s="45">
        <v>0.64</v>
      </c>
      <c r="I30" s="76">
        <v>1</v>
      </c>
      <c r="J30" s="76">
        <v>76</v>
      </c>
      <c r="K30" s="45">
        <v>55.8</v>
      </c>
      <c r="L30" s="80">
        <v>1.0200000000000001E-2</v>
      </c>
      <c r="M30" s="86">
        <v>0.56000000000000005</v>
      </c>
      <c r="N30" s="80">
        <v>8.6999999999999994E-3</v>
      </c>
      <c r="O30" s="83">
        <v>99.22</v>
      </c>
      <c r="P30" s="83">
        <v>11.24</v>
      </c>
      <c r="Q30" s="83">
        <v>300.33</v>
      </c>
      <c r="R30" s="30">
        <v>1.2707999999999999</v>
      </c>
      <c r="S30" s="31">
        <v>8.6999999999999994E-3</v>
      </c>
    </row>
    <row r="31" spans="1:19" x14ac:dyDescent="0.25">
      <c r="A31" s="65">
        <v>3</v>
      </c>
      <c r="B31" s="66" t="s">
        <v>25</v>
      </c>
      <c r="C31" s="66" t="s">
        <v>26</v>
      </c>
      <c r="D31" s="67" t="s">
        <v>63</v>
      </c>
      <c r="E31" s="39">
        <v>0</v>
      </c>
      <c r="F31" s="94">
        <v>15</v>
      </c>
      <c r="G31" s="90">
        <f t="shared" si="0"/>
        <v>23.4</v>
      </c>
      <c r="H31" s="45">
        <v>0.64</v>
      </c>
      <c r="I31" s="76">
        <v>1</v>
      </c>
      <c r="J31" s="76">
        <v>76</v>
      </c>
      <c r="K31" s="45">
        <v>55.8</v>
      </c>
      <c r="L31" s="80">
        <v>8.3999999999999995E-3</v>
      </c>
      <c r="M31" s="86">
        <v>0.52</v>
      </c>
      <c r="N31" s="80">
        <v>0</v>
      </c>
      <c r="O31" s="83">
        <v>99.22</v>
      </c>
      <c r="P31" s="83">
        <v>11.24</v>
      </c>
      <c r="Q31" s="83">
        <v>300.33</v>
      </c>
      <c r="R31" s="30">
        <v>1.2707999999999999</v>
      </c>
      <c r="S31" s="31">
        <v>8.6999999999999994E-3</v>
      </c>
    </row>
    <row r="32" spans="1:19" x14ac:dyDescent="0.25">
      <c r="A32" s="65">
        <v>3</v>
      </c>
      <c r="B32" s="66" t="s">
        <v>25</v>
      </c>
      <c r="C32" s="66" t="s">
        <v>26</v>
      </c>
      <c r="D32" s="67" t="s">
        <v>64</v>
      </c>
      <c r="E32" s="39">
        <v>0</v>
      </c>
      <c r="F32" s="94">
        <v>9</v>
      </c>
      <c r="G32" s="90">
        <f t="shared" si="0"/>
        <v>14.1</v>
      </c>
      <c r="H32" s="45">
        <v>0.64</v>
      </c>
      <c r="I32" s="76">
        <v>1</v>
      </c>
      <c r="J32" s="76">
        <v>76</v>
      </c>
      <c r="K32" s="45">
        <v>55.8</v>
      </c>
      <c r="L32" s="80">
        <v>9.5999999999999992E-3</v>
      </c>
      <c r="M32" s="86">
        <v>0.32</v>
      </c>
      <c r="N32" s="80">
        <v>0</v>
      </c>
      <c r="O32" s="83">
        <v>99.22</v>
      </c>
      <c r="P32" s="83">
        <v>11.24</v>
      </c>
      <c r="Q32" s="83">
        <v>300.33</v>
      </c>
      <c r="R32" s="30">
        <v>1.2707999999999999</v>
      </c>
      <c r="S32" s="31">
        <v>8.6999999999999994E-3</v>
      </c>
    </row>
    <row r="33" spans="1:19" x14ac:dyDescent="0.25">
      <c r="A33" s="65">
        <v>3</v>
      </c>
      <c r="B33" s="66" t="s">
        <v>25</v>
      </c>
      <c r="C33" s="66" t="s">
        <v>26</v>
      </c>
      <c r="D33" s="67" t="s">
        <v>65</v>
      </c>
      <c r="E33" s="39">
        <v>0</v>
      </c>
      <c r="F33" s="94">
        <v>6</v>
      </c>
      <c r="G33" s="90">
        <f t="shared" si="0"/>
        <v>9.4</v>
      </c>
      <c r="H33" s="45">
        <v>0.64</v>
      </c>
      <c r="I33" s="76">
        <v>1</v>
      </c>
      <c r="J33" s="76">
        <v>76</v>
      </c>
      <c r="K33" s="45">
        <v>55.8</v>
      </c>
      <c r="L33" s="80">
        <v>1.11E-2</v>
      </c>
      <c r="M33" s="86">
        <v>0.19</v>
      </c>
      <c r="N33" s="80">
        <v>0</v>
      </c>
      <c r="O33" s="83">
        <v>99.22</v>
      </c>
      <c r="P33" s="83">
        <v>11.24</v>
      </c>
      <c r="Q33" s="83">
        <v>300.33</v>
      </c>
      <c r="R33" s="30">
        <v>1.2707999999999999</v>
      </c>
      <c r="S33" s="31">
        <v>8.6999999999999994E-3</v>
      </c>
    </row>
    <row r="34" spans="1:19" x14ac:dyDescent="0.25">
      <c r="A34" s="65">
        <v>3</v>
      </c>
      <c r="B34" s="66" t="s">
        <v>25</v>
      </c>
      <c r="C34" s="66" t="s">
        <v>26</v>
      </c>
      <c r="D34" s="67" t="s">
        <v>66</v>
      </c>
      <c r="E34" s="39">
        <v>0</v>
      </c>
      <c r="F34" s="94">
        <v>2</v>
      </c>
      <c r="G34" s="90">
        <f t="shared" si="0"/>
        <v>3.1</v>
      </c>
      <c r="H34" s="45">
        <v>0.64</v>
      </c>
      <c r="I34" s="76">
        <v>1</v>
      </c>
      <c r="J34" s="76">
        <v>76</v>
      </c>
      <c r="K34" s="45">
        <v>55.8</v>
      </c>
      <c r="L34" s="80">
        <v>1.14E-2</v>
      </c>
      <c r="M34" s="86">
        <v>0.1</v>
      </c>
      <c r="N34" s="80">
        <v>0</v>
      </c>
      <c r="O34" s="83">
        <v>99.22</v>
      </c>
      <c r="P34" s="83">
        <v>11.24</v>
      </c>
      <c r="Q34" s="83">
        <v>300.33</v>
      </c>
      <c r="R34" s="30">
        <v>1.2707999999999999</v>
      </c>
      <c r="S34" s="31">
        <v>8.6999999999999994E-3</v>
      </c>
    </row>
    <row r="35" spans="1:19" x14ac:dyDescent="0.25">
      <c r="A35" s="65">
        <v>3</v>
      </c>
      <c r="B35" s="69" t="s">
        <v>25</v>
      </c>
      <c r="C35" s="69" t="s">
        <v>26</v>
      </c>
      <c r="D35" s="70" t="s">
        <v>67</v>
      </c>
      <c r="E35" s="71">
        <v>0</v>
      </c>
      <c r="F35" s="95">
        <v>0</v>
      </c>
      <c r="G35" s="91">
        <f t="shared" si="0"/>
        <v>0</v>
      </c>
      <c r="H35" s="48">
        <v>0.64</v>
      </c>
      <c r="I35" s="48">
        <v>1</v>
      </c>
      <c r="J35" s="77">
        <v>76</v>
      </c>
      <c r="K35" s="48">
        <v>55.8</v>
      </c>
      <c r="L35" s="81">
        <v>0</v>
      </c>
      <c r="M35" s="87">
        <v>0</v>
      </c>
      <c r="N35" s="98">
        <v>0</v>
      </c>
      <c r="O35" s="84">
        <v>99.22</v>
      </c>
      <c r="P35" s="84">
        <v>11.24</v>
      </c>
      <c r="Q35" s="84">
        <v>300.33</v>
      </c>
      <c r="R35" s="32">
        <v>1.2707999999999999</v>
      </c>
      <c r="S35" s="33">
        <v>8.6999999999999994E-3</v>
      </c>
    </row>
    <row r="36" spans="1:19" x14ac:dyDescent="0.25">
      <c r="A36" s="62">
        <v>4</v>
      </c>
      <c r="B36" s="63" t="s">
        <v>27</v>
      </c>
      <c r="C36" s="63" t="s">
        <v>26</v>
      </c>
      <c r="D36" s="67" t="s">
        <v>68</v>
      </c>
      <c r="E36" s="39">
        <v>0</v>
      </c>
      <c r="F36" s="93">
        <v>44</v>
      </c>
      <c r="G36" s="90">
        <f t="shared" si="0"/>
        <v>32.6</v>
      </c>
      <c r="H36" s="45">
        <v>1.35</v>
      </c>
      <c r="I36" s="76">
        <v>1</v>
      </c>
      <c r="J36" s="76">
        <v>49</v>
      </c>
      <c r="K36" s="45">
        <v>5.7</v>
      </c>
      <c r="L36" s="80">
        <v>4.6399999999999997E-2</v>
      </c>
      <c r="M36" s="86">
        <v>0.55000000000000004</v>
      </c>
      <c r="N36" s="80">
        <v>3.95E-2</v>
      </c>
      <c r="O36" s="83">
        <v>32.130000000000003</v>
      </c>
      <c r="P36" s="83">
        <v>12.89</v>
      </c>
      <c r="Q36" s="83">
        <v>864.97</v>
      </c>
      <c r="R36" s="30">
        <v>1.2090000000000001</v>
      </c>
      <c r="S36" s="31">
        <v>9.1999999999999998E-3</v>
      </c>
    </row>
    <row r="37" spans="1:19" x14ac:dyDescent="0.25">
      <c r="A37" s="65">
        <v>4</v>
      </c>
      <c r="B37" s="66" t="s">
        <v>27</v>
      </c>
      <c r="C37" s="66" t="s">
        <v>26</v>
      </c>
      <c r="D37" s="67" t="s">
        <v>69</v>
      </c>
      <c r="E37" s="39">
        <v>0</v>
      </c>
      <c r="F37" s="94">
        <v>35</v>
      </c>
      <c r="G37" s="90">
        <f t="shared" si="0"/>
        <v>25.9</v>
      </c>
      <c r="H37" s="45">
        <v>1.35</v>
      </c>
      <c r="I37" s="76">
        <v>1</v>
      </c>
      <c r="J37" s="76">
        <v>49</v>
      </c>
      <c r="K37" s="45">
        <v>5.7</v>
      </c>
      <c r="L37" s="80">
        <v>5.1000000000000004E-3</v>
      </c>
      <c r="M37" s="86">
        <v>1</v>
      </c>
      <c r="N37" s="80">
        <v>4.6399999999999997E-2</v>
      </c>
      <c r="O37" s="83">
        <v>32.130000000000003</v>
      </c>
      <c r="P37" s="83">
        <v>12.89</v>
      </c>
      <c r="Q37" s="83">
        <v>864.97</v>
      </c>
      <c r="R37" s="30">
        <v>1.2090000000000001</v>
      </c>
      <c r="S37" s="31">
        <v>9.1999999999999998E-3</v>
      </c>
    </row>
    <row r="38" spans="1:19" x14ac:dyDescent="0.25">
      <c r="A38" s="65">
        <v>4</v>
      </c>
      <c r="B38" s="66" t="s">
        <v>27</v>
      </c>
      <c r="C38" s="66" t="s">
        <v>26</v>
      </c>
      <c r="D38" s="67" t="s">
        <v>70</v>
      </c>
      <c r="E38" s="39">
        <v>0</v>
      </c>
      <c r="F38" s="94">
        <v>23</v>
      </c>
      <c r="G38" s="90">
        <f t="shared" si="0"/>
        <v>17</v>
      </c>
      <c r="H38" s="45">
        <v>1.35</v>
      </c>
      <c r="I38" s="76">
        <v>1</v>
      </c>
      <c r="J38" s="76">
        <v>49</v>
      </c>
      <c r="K38" s="45">
        <v>5.7</v>
      </c>
      <c r="L38" s="80">
        <v>2.8999999999999998E-3</v>
      </c>
      <c r="M38" s="86">
        <v>1</v>
      </c>
      <c r="N38" s="80">
        <v>1.4200000000000001E-2</v>
      </c>
      <c r="O38" s="83">
        <v>32.130000000000003</v>
      </c>
      <c r="P38" s="83">
        <v>12.89</v>
      </c>
      <c r="Q38" s="83">
        <v>864.97</v>
      </c>
      <c r="R38" s="30">
        <v>1.2090000000000001</v>
      </c>
      <c r="S38" s="31">
        <v>9.1999999999999998E-3</v>
      </c>
    </row>
    <row r="39" spans="1:19" x14ac:dyDescent="0.25">
      <c r="A39" s="65">
        <v>4</v>
      </c>
      <c r="B39" s="66" t="s">
        <v>27</v>
      </c>
      <c r="C39" s="66" t="s">
        <v>26</v>
      </c>
      <c r="D39" s="67" t="s">
        <v>71</v>
      </c>
      <c r="E39" s="39">
        <v>0</v>
      </c>
      <c r="F39" s="94">
        <v>16</v>
      </c>
      <c r="G39" s="90">
        <f t="shared" si="0"/>
        <v>11.9</v>
      </c>
      <c r="H39" s="45">
        <v>1.35</v>
      </c>
      <c r="I39" s="76">
        <v>1</v>
      </c>
      <c r="J39" s="76">
        <v>49</v>
      </c>
      <c r="K39" s="45">
        <v>5.7</v>
      </c>
      <c r="L39" s="80">
        <v>2.3E-3</v>
      </c>
      <c r="M39" s="86">
        <v>0.92</v>
      </c>
      <c r="N39" s="80">
        <v>0</v>
      </c>
      <c r="O39" s="83">
        <v>32.130000000000003</v>
      </c>
      <c r="P39" s="83">
        <v>12.89</v>
      </c>
      <c r="Q39" s="83">
        <v>864.97</v>
      </c>
      <c r="R39" s="30">
        <v>1.2090000000000001</v>
      </c>
      <c r="S39" s="31">
        <v>9.1999999999999998E-3</v>
      </c>
    </row>
    <row r="40" spans="1:19" x14ac:dyDescent="0.25">
      <c r="A40" s="65">
        <v>4</v>
      </c>
      <c r="B40" s="66" t="s">
        <v>27</v>
      </c>
      <c r="C40" s="66" t="s">
        <v>26</v>
      </c>
      <c r="D40" s="67" t="s">
        <v>72</v>
      </c>
      <c r="E40" s="39">
        <v>0</v>
      </c>
      <c r="F40" s="94">
        <v>9</v>
      </c>
      <c r="G40" s="90">
        <f t="shared" si="0"/>
        <v>6.7</v>
      </c>
      <c r="H40" s="45">
        <v>1.35</v>
      </c>
      <c r="I40" s="76">
        <v>1</v>
      </c>
      <c r="J40" s="76">
        <v>49</v>
      </c>
      <c r="K40" s="45">
        <v>5.7</v>
      </c>
      <c r="L40" s="80">
        <v>2.0999999999999999E-3</v>
      </c>
      <c r="M40" s="86">
        <v>0.74</v>
      </c>
      <c r="N40" s="80">
        <v>0</v>
      </c>
      <c r="O40" s="83">
        <v>32.130000000000003</v>
      </c>
      <c r="P40" s="83">
        <v>12.89</v>
      </c>
      <c r="Q40" s="83">
        <v>864.97</v>
      </c>
      <c r="R40" s="30">
        <v>1.2090000000000001</v>
      </c>
      <c r="S40" s="31">
        <v>9.1999999999999998E-3</v>
      </c>
    </row>
    <row r="41" spans="1:19" x14ac:dyDescent="0.25">
      <c r="A41" s="65">
        <v>4</v>
      </c>
      <c r="B41" s="66" t="s">
        <v>27</v>
      </c>
      <c r="C41" s="66" t="s">
        <v>26</v>
      </c>
      <c r="D41" s="67" t="s">
        <v>73</v>
      </c>
      <c r="E41" s="39">
        <v>0</v>
      </c>
      <c r="F41" s="94">
        <v>5</v>
      </c>
      <c r="G41" s="90">
        <f t="shared" si="0"/>
        <v>3.7</v>
      </c>
      <c r="H41" s="45">
        <v>1.35</v>
      </c>
      <c r="I41" s="76">
        <v>1</v>
      </c>
      <c r="J41" s="76">
        <v>49</v>
      </c>
      <c r="K41" s="45">
        <v>5.7</v>
      </c>
      <c r="L41" s="80">
        <v>3.8999999999999998E-3</v>
      </c>
      <c r="M41" s="86">
        <v>0.33</v>
      </c>
      <c r="N41" s="80">
        <v>8.1600000000000006E-2</v>
      </c>
      <c r="O41" s="83">
        <v>32.130000000000003</v>
      </c>
      <c r="P41" s="83">
        <v>12.89</v>
      </c>
      <c r="Q41" s="83">
        <v>864.97</v>
      </c>
      <c r="R41" s="30">
        <v>1.2090000000000001</v>
      </c>
      <c r="S41" s="31">
        <v>9.1999999999999998E-3</v>
      </c>
    </row>
    <row r="42" spans="1:19" ht="15.75" thickBot="1" x14ac:dyDescent="0.3">
      <c r="A42" s="72">
        <v>4</v>
      </c>
      <c r="B42" s="73" t="s">
        <v>27</v>
      </c>
      <c r="C42" s="73" t="s">
        <v>26</v>
      </c>
      <c r="D42" s="74" t="s">
        <v>74</v>
      </c>
      <c r="E42" s="75">
        <v>0</v>
      </c>
      <c r="F42" s="96">
        <v>0</v>
      </c>
      <c r="G42" s="92">
        <f t="shared" si="0"/>
        <v>0</v>
      </c>
      <c r="H42" s="78">
        <v>1.35</v>
      </c>
      <c r="I42" s="79">
        <v>1</v>
      </c>
      <c r="J42" s="79">
        <v>49</v>
      </c>
      <c r="K42" s="78">
        <v>5.7</v>
      </c>
      <c r="L42" s="82">
        <v>0</v>
      </c>
      <c r="M42" s="88">
        <v>0</v>
      </c>
      <c r="N42" s="99">
        <v>0</v>
      </c>
      <c r="O42" s="85">
        <v>32.130000000000003</v>
      </c>
      <c r="P42" s="85">
        <v>12.89</v>
      </c>
      <c r="Q42" s="85">
        <v>864.97</v>
      </c>
      <c r="R42" s="35">
        <v>1.2090000000000001</v>
      </c>
      <c r="S42" s="36">
        <v>9.1999999999999998E-3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SOILSPECT</dc:creator>
  <cp:lastModifiedBy>dupiau</cp:lastModifiedBy>
  <cp:lastPrinted>2020-06-24T15:36:23Z</cp:lastPrinted>
  <dcterms:created xsi:type="dcterms:W3CDTF">2019-11-05T14:27:19Z</dcterms:created>
  <dcterms:modified xsi:type="dcterms:W3CDTF">2022-04-12T16:13:49Z</dcterms:modified>
</cp:coreProperties>
</file>