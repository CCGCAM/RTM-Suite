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dupiau\Documents\GitHub\marmit\marmit2\databases\Dupiau_2020\"/>
    </mc:Choice>
  </mc:AlternateContent>
  <xr:revisionPtr revIDLastSave="0" documentId="13_ncr:1_{D1AC171B-75FB-4550-A9BE-5FF6D05704C6}" xr6:coauthVersionLast="36" xr6:coauthVersionMax="36" xr10:uidLastSave="{00000000-0000-0000-0000-000000000000}"/>
  <bookViews>
    <workbookView xWindow="0" yWindow="0" windowWidth="18870" windowHeight="7815" xr2:uid="{00000000-000D-0000-FFFF-FFFF00000000}"/>
  </bookViews>
  <sheets>
    <sheet name="ReadMe" sheetId="1" r:id="rId1"/>
    <sheet name="Database" sheetId="2" r:id="rId2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3" i="2"/>
  <c r="I2" i="2" l="1"/>
</calcChain>
</file>

<file path=xl/sharedStrings.xml><?xml version="1.0" encoding="utf-8"?>
<sst xmlns="http://schemas.openxmlformats.org/spreadsheetml/2006/main" count="1318" uniqueCount="203">
  <si>
    <t>#</t>
  </si>
  <si>
    <t>Variable</t>
  </si>
  <si>
    <t>Comments</t>
  </si>
  <si>
    <t>Name</t>
  </si>
  <si>
    <t>Refl_file</t>
  </si>
  <si>
    <t>SMCg</t>
  </si>
  <si>
    <t>"MARMIT: A multilayer radiative transfer model of soil reflectance to estimate surface soil moisture content in the solar domain (400-2500nm)"</t>
  </si>
  <si>
    <t>Origin</t>
  </si>
  <si>
    <t>ID</t>
  </si>
  <si>
    <t>ID of the sample</t>
  </si>
  <si>
    <t>Additional remarks</t>
  </si>
  <si>
    <t>References</t>
  </si>
  <si>
    <r>
      <t xml:space="preserve">Remote Sensing of Environment, </t>
    </r>
    <r>
      <rPr>
        <sz val="10"/>
        <color theme="1"/>
        <rFont val="Arial"/>
        <family val="2"/>
      </rPr>
      <t>https://doi.org/10.1016/j.rse.2018.07.031</t>
    </r>
    <r>
      <rPr>
        <i/>
        <sz val="10"/>
        <color theme="1"/>
        <rFont val="Arial"/>
        <family val="2"/>
      </rPr>
      <t xml:space="preserve"> </t>
    </r>
  </si>
  <si>
    <t>name of the sample</t>
  </si>
  <si>
    <t>file name of the reflectance spectrum (from 400 to 2400 nm with 1 nm step)</t>
  </si>
  <si>
    <t>The light source is a halogen lamp placed at a 15° angle relatively to the normal of the surface of the samples and the spectroradiometer is aligned with the normal of the surface of the samples.</t>
  </si>
  <si>
    <t>"Surface Soil Moisture Quantification Models From Reflectance Data Under Field Conditions"</t>
  </si>
  <si>
    <t>International Journal of Remote Sensing, 29: 3–29.</t>
  </si>
  <si>
    <t>Clay</t>
  </si>
  <si>
    <t>Silt</t>
  </si>
  <si>
    <t>Sand</t>
  </si>
  <si>
    <t xml:space="preserve">CaCO3 </t>
  </si>
  <si>
    <t xml:space="preserve">OM </t>
  </si>
  <si>
    <t>Fe</t>
  </si>
  <si>
    <t>CaCO3</t>
  </si>
  <si>
    <t>soil reflectance and humidity content database (2020)</t>
  </si>
  <si>
    <t>Number of soil samples: 8</t>
  </si>
  <si>
    <t>origin of the sample, samples 1 and 8 contain same soil</t>
  </si>
  <si>
    <t>The instrument used to perform the reflectance measurements is an ASD FieldSpec Pro 3HR spectroradiometer.</t>
  </si>
  <si>
    <t>petri1</t>
  </si>
  <si>
    <t>petri2</t>
  </si>
  <si>
    <t>petri3</t>
  </si>
  <si>
    <t>petri4</t>
  </si>
  <si>
    <t>petri5</t>
  </si>
  <si>
    <t>petri6</t>
  </si>
  <si>
    <t>petri7</t>
  </si>
  <si>
    <t>petri8</t>
  </si>
  <si>
    <t>Lebna 57</t>
  </si>
  <si>
    <t>Atacama</t>
  </si>
  <si>
    <t>Tunisia Maouna</t>
  </si>
  <si>
    <t>Arizona Sonoran desert</t>
  </si>
  <si>
    <t>St-Julien</t>
  </si>
  <si>
    <t>Sable blanc</t>
  </si>
  <si>
    <t>Chine Ulan Buh</t>
  </si>
  <si>
    <t>m_w</t>
  </si>
  <si>
    <t>m_d</t>
  </si>
  <si>
    <t>m_sh</t>
  </si>
  <si>
    <t>mass of the wet sample (g)</t>
  </si>
  <si>
    <t>mass of the oven dried sample (g)</t>
  </si>
  <si>
    <t>Gravels</t>
  </si>
  <si>
    <t>Rocks</t>
  </si>
  <si>
    <t>OM</t>
  </si>
  <si>
    <t>Quartz</t>
  </si>
  <si>
    <t>Feldspars</t>
  </si>
  <si>
    <t>Calcite</t>
  </si>
  <si>
    <t>Dolomite</t>
  </si>
  <si>
    <t>Goethite</t>
  </si>
  <si>
    <t>Hematite</t>
  </si>
  <si>
    <t>percentage by mass of quartz</t>
  </si>
  <si>
    <t>percentage by mass of feldspars</t>
  </si>
  <si>
    <t>percentage by mass of calcite</t>
  </si>
  <si>
    <t>percentage by mass of dolomite</t>
  </si>
  <si>
    <t>percentage by mass of goethite</t>
  </si>
  <si>
    <t>percentage by mass of hematite</t>
  </si>
  <si>
    <t>K</t>
  </si>
  <si>
    <t>a</t>
  </si>
  <si>
    <t>psi</t>
  </si>
  <si>
    <t>dup20_001.csv</t>
  </si>
  <si>
    <t>dup20_002.csv</t>
  </si>
  <si>
    <t>dup20_003.csv</t>
  </si>
  <si>
    <t>dup20_004.csv</t>
  </si>
  <si>
    <t>dup20_005.csv</t>
  </si>
  <si>
    <t>dup20_006.csv</t>
  </si>
  <si>
    <t>dup20_007.csv</t>
  </si>
  <si>
    <t>dup20_008.csv</t>
  </si>
  <si>
    <t>dup20_009.csv</t>
  </si>
  <si>
    <t>dup20_010.csv</t>
  </si>
  <si>
    <t>dup20_011.csv</t>
  </si>
  <si>
    <t>dup20_012.csv</t>
  </si>
  <si>
    <t>dup20_013.csv</t>
  </si>
  <si>
    <t>dup20_014.csv</t>
  </si>
  <si>
    <t>dup20_015.csv</t>
  </si>
  <si>
    <t>dup20_016.csv</t>
  </si>
  <si>
    <t>dup20_017.csv</t>
  </si>
  <si>
    <t>dup20_018.csv</t>
  </si>
  <si>
    <t>dup20_019.csv</t>
  </si>
  <si>
    <t>dup20_020.csv</t>
  </si>
  <si>
    <t>dup20_021.csv</t>
  </si>
  <si>
    <t>dup20_022.csv</t>
  </si>
  <si>
    <t>dup20_023.csv</t>
  </si>
  <si>
    <t>dup20_024.csv</t>
  </si>
  <si>
    <t>dup20_025.csv</t>
  </si>
  <si>
    <t>dup20_026.csv</t>
  </si>
  <si>
    <t>dup20_027.csv</t>
  </si>
  <si>
    <t>dup20_028.csv</t>
  </si>
  <si>
    <t>dup20_029.csv</t>
  </si>
  <si>
    <t>dup20_030.csv</t>
  </si>
  <si>
    <t>dup20_031.csv</t>
  </si>
  <si>
    <t>dup20_032.csv</t>
  </si>
  <si>
    <t>dup20_033.csv</t>
  </si>
  <si>
    <t>dup20_034.csv</t>
  </si>
  <si>
    <t>dup20_035.csv</t>
  </si>
  <si>
    <t>dup20_036.csv</t>
  </si>
  <si>
    <t>dup20_037.csv</t>
  </si>
  <si>
    <t>dup20_038.csv</t>
  </si>
  <si>
    <t>dup20_039.csv</t>
  </si>
  <si>
    <t>dup20_040.csv</t>
  </si>
  <si>
    <t>dup20_041.csv</t>
  </si>
  <si>
    <t>dup20_042.csv</t>
  </si>
  <si>
    <t>dup20_043.csv</t>
  </si>
  <si>
    <t>dup20_044.csv</t>
  </si>
  <si>
    <t>dup20_045.csv</t>
  </si>
  <si>
    <t>dup20_046.csv</t>
  </si>
  <si>
    <t>dup20_047.csv</t>
  </si>
  <si>
    <t>dup20_048.csv</t>
  </si>
  <si>
    <t>dup20_049.csv</t>
  </si>
  <si>
    <t>dup20_050.csv</t>
  </si>
  <si>
    <t>dup20_051.csv</t>
  </si>
  <si>
    <t>dup20_052.csv</t>
  </si>
  <si>
    <t>dup20_053.csv</t>
  </si>
  <si>
    <t>dup20_054.csv</t>
  </si>
  <si>
    <t>dup20_055.csv</t>
  </si>
  <si>
    <t>dup20_056.csv</t>
  </si>
  <si>
    <t>dup20_057.csv</t>
  </si>
  <si>
    <t>dup20_058.csv</t>
  </si>
  <si>
    <t>dup20_059.csv</t>
  </si>
  <si>
    <t>dup20_060.csv</t>
  </si>
  <si>
    <t>dup20_061.csv</t>
  </si>
  <si>
    <t>dup20_062.csv</t>
  </si>
  <si>
    <t>dup20_063.csv</t>
  </si>
  <si>
    <t>dup20_064.csv</t>
  </si>
  <si>
    <t>dup20_065.csv</t>
  </si>
  <si>
    <t>dup20_066.csv</t>
  </si>
  <si>
    <t>dup20_067.csv</t>
  </si>
  <si>
    <t>dup20_068.csv</t>
  </si>
  <si>
    <t>dup20_069.csv</t>
  </si>
  <si>
    <t>dup20_070.csv</t>
  </si>
  <si>
    <t>dup20_071.csv</t>
  </si>
  <si>
    <t>dup20_072.csv</t>
  </si>
  <si>
    <t>Specular</t>
  </si>
  <si>
    <t>suspicion of specular reflection : 0 = no, 1 = yes</t>
  </si>
  <si>
    <t>nan</t>
  </si>
  <si>
    <t>mass of the sample holder (g)</t>
  </si>
  <si>
    <t>gravimetric soil moisture content (%)</t>
  </si>
  <si>
    <r>
      <t>clay (</t>
    </r>
    <r>
      <rPr>
        <i/>
        <sz val="10"/>
        <color theme="1"/>
        <rFont val="Arial"/>
        <family val="2"/>
      </rPr>
      <t>argile</t>
    </r>
    <r>
      <rPr>
        <sz val="10"/>
        <color theme="1"/>
        <rFont val="Arial"/>
        <family val="2"/>
      </rPr>
      <t>) in g/kg: grain size &lt;2µm</t>
    </r>
  </si>
  <si>
    <r>
      <t>fine silt (</t>
    </r>
    <r>
      <rPr>
        <i/>
        <sz val="10"/>
        <rFont val="Arial"/>
        <family val="2"/>
      </rPr>
      <t>limons fins</t>
    </r>
    <r>
      <rPr>
        <sz val="10"/>
        <rFont val="Arial"/>
        <family val="2"/>
      </rPr>
      <t>) in g/kg: grain size 2-20µm</t>
    </r>
  </si>
  <si>
    <r>
      <t>coarse silt (</t>
    </r>
    <r>
      <rPr>
        <i/>
        <sz val="10"/>
        <rFont val="Arial"/>
        <family val="2"/>
      </rPr>
      <t>limons grossiers</t>
    </r>
    <r>
      <rPr>
        <sz val="10"/>
        <rFont val="Arial"/>
        <family val="2"/>
      </rPr>
      <t>) in g/kg: grain size 20-50µm</t>
    </r>
  </si>
  <si>
    <r>
      <t>fine and coarse silt (</t>
    </r>
    <r>
      <rPr>
        <i/>
        <sz val="10"/>
        <rFont val="Arial"/>
        <family val="2"/>
      </rPr>
      <t>limons fins et grossiers</t>
    </r>
    <r>
      <rPr>
        <sz val="10"/>
        <rFont val="Arial"/>
        <family val="2"/>
      </rPr>
      <t>) in g/kg</t>
    </r>
  </si>
  <si>
    <r>
      <t>fine sand (</t>
    </r>
    <r>
      <rPr>
        <i/>
        <sz val="10"/>
        <rFont val="Arial"/>
        <family val="2"/>
      </rPr>
      <t>sables fins</t>
    </r>
    <r>
      <rPr>
        <sz val="10"/>
        <rFont val="Arial"/>
        <family val="2"/>
      </rPr>
      <t xml:space="preserve">) in g/kg: grain size 50-200µm </t>
    </r>
  </si>
  <si>
    <r>
      <t>coarse sand (</t>
    </r>
    <r>
      <rPr>
        <i/>
        <sz val="10"/>
        <rFont val="Arial"/>
        <family val="2"/>
      </rPr>
      <t>sables grossiers</t>
    </r>
    <r>
      <rPr>
        <sz val="10"/>
        <rFont val="Arial"/>
        <family val="2"/>
      </rPr>
      <t xml:space="preserve">) in g/kg: grain size 200-2000µm </t>
    </r>
  </si>
  <si>
    <r>
      <t>fine and coarse sand (</t>
    </r>
    <r>
      <rPr>
        <i/>
        <sz val="10"/>
        <rFont val="Arial"/>
        <family val="2"/>
      </rPr>
      <t>sables fins et grossiers</t>
    </r>
    <r>
      <rPr>
        <sz val="10"/>
        <rFont val="Arial"/>
        <family val="2"/>
      </rPr>
      <t>) in g/kg</t>
    </r>
  </si>
  <si>
    <t>724-Lebna 57</t>
  </si>
  <si>
    <t>724-Lebna 58</t>
  </si>
  <si>
    <t>724-Lebna 59</t>
  </si>
  <si>
    <t>724-Lebna 60</t>
  </si>
  <si>
    <t>724-Lebna 61</t>
  </si>
  <si>
    <t>724-Lebna 62</t>
  </si>
  <si>
    <t>724-Lebna 63</t>
  </si>
  <si>
    <t>724-Lebna 64</t>
  </si>
  <si>
    <t>724-Lebna 65</t>
  </si>
  <si>
    <t>percentage by mass of clay minerals</t>
  </si>
  <si>
    <t>parameter of the sigmoid function for soil calibration</t>
  </si>
  <si>
    <t>If nan : the value is missing.</t>
  </si>
  <si>
    <r>
      <t>fine dirt (</t>
    </r>
    <r>
      <rPr>
        <i/>
        <sz val="10"/>
        <color theme="1"/>
        <rFont val="Arial"/>
        <family val="2"/>
      </rPr>
      <t>terre fine</t>
    </r>
    <r>
      <rPr>
        <sz val="10"/>
        <color theme="1"/>
        <rFont val="Arial"/>
        <family val="2"/>
      </rPr>
      <t>) in g/kg, fraction of coarse elements : &lt;2mm</t>
    </r>
  </si>
  <si>
    <r>
      <t>gravels (</t>
    </r>
    <r>
      <rPr>
        <i/>
        <sz val="10"/>
        <color theme="1"/>
        <rFont val="Arial"/>
        <family val="2"/>
      </rPr>
      <t>graviers</t>
    </r>
    <r>
      <rPr>
        <sz val="10"/>
        <color theme="1"/>
        <rFont val="Arial"/>
        <family val="2"/>
      </rPr>
      <t>) in g/kg, fraction of coarse elements : 2-5mm</t>
    </r>
  </si>
  <si>
    <r>
      <t>rocks (</t>
    </r>
    <r>
      <rPr>
        <i/>
        <sz val="10"/>
        <color theme="1"/>
        <rFont val="Arial"/>
        <family val="2"/>
      </rPr>
      <t>cailloux</t>
    </r>
    <r>
      <rPr>
        <sz val="10"/>
        <color theme="1"/>
        <rFont val="Arial"/>
        <family val="2"/>
      </rPr>
      <t>) in g/kg, fraction of coarse elements : &gt; 5mm</t>
    </r>
  </si>
  <si>
    <r>
      <t>organic matter (</t>
    </r>
    <r>
      <rPr>
        <i/>
        <sz val="10"/>
        <color theme="1"/>
        <rFont val="Arial"/>
        <family val="2"/>
      </rPr>
      <t>matière organique</t>
    </r>
    <r>
      <rPr>
        <sz val="10"/>
        <color theme="1"/>
        <rFont val="Arial"/>
        <family val="2"/>
      </rPr>
      <t>) in g/kg, granulometry</t>
    </r>
  </si>
  <si>
    <r>
      <t>calcium carbonate (</t>
    </r>
    <r>
      <rPr>
        <i/>
        <sz val="10"/>
        <color theme="1"/>
        <rFont val="Arial"/>
        <family val="2"/>
      </rPr>
      <t>carbonate de calcium</t>
    </r>
    <r>
      <rPr>
        <sz val="10"/>
        <color theme="1"/>
        <rFont val="Arial"/>
        <family val="2"/>
      </rPr>
      <t xml:space="preserve">) in g/kg, granulometry </t>
    </r>
  </si>
  <si>
    <r>
      <t>iron (</t>
    </r>
    <r>
      <rPr>
        <i/>
        <sz val="10"/>
        <color theme="1"/>
        <rFont val="Arial"/>
        <family val="2"/>
      </rPr>
      <t>fer</t>
    </r>
    <r>
      <rPr>
        <sz val="10"/>
        <color theme="1"/>
        <rFont val="Arial"/>
        <family val="2"/>
      </rPr>
      <t>) in g/100g, granulometry</t>
    </r>
  </si>
  <si>
    <t>Slope</t>
  </si>
  <si>
    <t>Intercept</t>
  </si>
  <si>
    <t>"Distinguishing vegetation from soil background information"</t>
  </si>
  <si>
    <t>Photogrammetry Engineering and Remote Sensing 43:1541–1552</t>
  </si>
  <si>
    <t>L</t>
  </si>
  <si>
    <t>eps</t>
  </si>
  <si>
    <t>slope of the soil line</t>
  </si>
  <si>
    <t>intercept of the soil line</t>
  </si>
  <si>
    <t>Fine_silt</t>
  </si>
  <si>
    <t>Coarse_silt</t>
  </si>
  <si>
    <t>Fine_sand</t>
  </si>
  <si>
    <t>Coarse_sand</t>
  </si>
  <si>
    <t>Fine_dirt</t>
  </si>
  <si>
    <t>Clay_minerals</t>
  </si>
  <si>
    <t xml:space="preserve">Fine_silt </t>
  </si>
  <si>
    <t xml:space="preserve">Coarse_silt </t>
  </si>
  <si>
    <t xml:space="preserve">Fine_sand </t>
  </si>
  <si>
    <t xml:space="preserve">Coarse_sand </t>
  </si>
  <si>
    <t xml:space="preserve">Location of the acquisitions : ONERA, Toulouse (France) </t>
  </si>
  <si>
    <t>Last update: 1st October, 2021</t>
  </si>
  <si>
    <t>d</t>
  </si>
  <si>
    <t>thickness of the water layer in cm (parameter of MARMIT-2)</t>
  </si>
  <si>
    <t>surface fraction of wet soil (parameter of MARMIT-2)</t>
  </si>
  <si>
    <t>volume fraction of soil particles in the water layer (parameter of MARMIT-2)</t>
  </si>
  <si>
    <t>[2] Bablet A., Vu P.V.H., Jacquemoud S., Viallefont-Robinet F., Fabre S., Briotet X., Sadeghi M., Whiting M.L., Baret F., Tian J. (2018)</t>
  </si>
  <si>
    <t xml:space="preserve">[3] Haubrock S., Chabrillat S., Lemmitz C. and Kaufmann H. (2008) </t>
  </si>
  <si>
    <t>[4] Richardson A.J. and Wiegand C.L. (1977)</t>
  </si>
  <si>
    <t>The samples are humidified until saturation, then dried in a laboratory oven to obtain the succesive Soil Moisture Contents, see protocol described in [1, 2].</t>
  </si>
  <si>
    <t>The SMC values are obtained using the gravimetric method [3], by weighing the dry and wet samples: SMCg=100*(m_w - m_d)/m_d with m_w the mass of the wet sample and m_d the mass of the dry sample.</t>
  </si>
  <si>
    <t>A relationship between SMC and phi=L*epsilon, with L and epsilon two of the three input parameters of MARMIT-2 [1], is given for each soil: SMC = K/(1+a*exp(-psi*phi)) where K, a, and psi are the parameters of the sigmoid function.</t>
  </si>
  <si>
    <t xml:space="preserve">There is a linear relationship between the near infrared (NIR) reflectances and the red (RED) reflectances of a given soil for different SMC. This relationship is called the soil line [4]. The slope and the intercept of the soil lines are given in this database. </t>
  </si>
  <si>
    <t>"MARMIT-2: an improved version of the MARMIT model to predict soil reflectance as a function of surface water content in the solar domain"</t>
  </si>
  <si>
    <t xml:space="preserve">[1] Dupiau A., Jacquemoud S., Briottet X., Fabre S., Viallefont-Robinet F., Philpot W., Di Biagio C., Hébert M., Formenti P. (2022) </t>
  </si>
  <si>
    <t xml:space="preserve">Remore Sensing of Environment, 272:112951. https://doi.org/10.1016/j.rse.2022.112951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</si>
</sst>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0.00"/>
    <numFmt numFmtId="166" formatCode="0.0000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Fill="1" applyBorder="1"/>
    <xf numFmtId="0" fontId="2" fillId="0" borderId="4" xfId="0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0" borderId="1" xfId="0" applyFont="1" applyBorder="1"/>
    <xf numFmtId="0" fontId="3" fillId="0" borderId="4" xfId="0" applyFont="1" applyBorder="1"/>
    <xf numFmtId="0" fontId="3" fillId="0" borderId="4" xfId="0" applyFont="1" applyFill="1" applyBorder="1"/>
    <xf numFmtId="0" fontId="3" fillId="0" borderId="5" xfId="0" applyFont="1" applyFill="1" applyBorder="1"/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4" xfId="0" applyFont="1" applyFill="1" applyBorder="1"/>
    <xf numFmtId="0" fontId="0" fillId="0" borderId="0" xfId="0" applyFill="1" applyAlignment="1">
      <alignment horizontal="left"/>
    </xf>
    <xf numFmtId="0" fontId="7" fillId="0" borderId="0" xfId="0" applyFont="1"/>
    <xf numFmtId="0" fontId="1" fillId="0" borderId="0" xfId="0" applyFont="1"/>
    <xf numFmtId="0" fontId="8" fillId="0" borderId="0" xfId="0" applyFont="1"/>
    <xf numFmtId="20" fontId="2" fillId="0" borderId="4" xfId="0" applyNumberFormat="1" applyFont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10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3" fillId="0" borderId="5" xfId="0" applyFont="1" applyBorder="1"/>
    <xf numFmtId="20" fontId="5" fillId="0" borderId="0" xfId="0" applyNumberFormat="1" applyFont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4" xfId="0" applyFont="1" applyFill="1" applyBorder="1"/>
    <xf numFmtId="0" fontId="3" fillId="4" borderId="5" xfId="0" applyFont="1" applyFill="1" applyBorder="1"/>
    <xf numFmtId="0" fontId="3" fillId="4" borderId="20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20" fontId="2" fillId="0" borderId="5" xfId="0" applyNumberFormat="1" applyFont="1" applyBorder="1"/>
    <xf numFmtId="0" fontId="2" fillId="0" borderId="0" xfId="0" applyFont="1"/>
    <xf numFmtId="0" fontId="3" fillId="0" borderId="12" xfId="0" applyFont="1" applyFill="1" applyBorder="1"/>
    <xf numFmtId="0" fontId="3" fillId="0" borderId="9" xfId="0" applyFont="1" applyFill="1" applyBorder="1"/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166" fontId="3" fillId="5" borderId="4" xfId="0" applyNumberFormat="1" applyFont="1" applyFill="1" applyBorder="1" applyAlignment="1">
      <alignment horizontal="center"/>
    </xf>
    <xf numFmtId="166" fontId="3" fillId="5" borderId="28" xfId="0" applyNumberFormat="1" applyFont="1" applyFill="1" applyBorder="1" applyAlignment="1">
      <alignment horizontal="center"/>
    </xf>
    <xf numFmtId="166" fontId="3" fillId="5" borderId="5" xfId="0" applyNumberFormat="1" applyFont="1" applyFill="1" applyBorder="1" applyAlignment="1">
      <alignment horizontal="center"/>
    </xf>
    <xf numFmtId="166" fontId="3" fillId="5" borderId="29" xfId="0" applyNumberFormat="1" applyFont="1" applyFill="1" applyBorder="1" applyAlignment="1">
      <alignment horizontal="center"/>
    </xf>
    <xf numFmtId="166" fontId="3" fillId="5" borderId="14" xfId="0" applyNumberFormat="1" applyFont="1" applyFill="1" applyBorder="1" applyAlignment="1">
      <alignment horizontal="center"/>
    </xf>
    <xf numFmtId="166" fontId="3" fillId="5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4" xfId="0" applyFont="1" applyFill="1" applyBorder="1"/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/>
    <xf numFmtId="0" fontId="3" fillId="7" borderId="4" xfId="0" applyFont="1" applyFill="1" applyBorder="1" applyAlignment="1">
      <alignment horizontal="center"/>
    </xf>
    <xf numFmtId="0" fontId="3" fillId="7" borderId="4" xfId="0" applyFont="1" applyFill="1" applyBorder="1"/>
    <xf numFmtId="0" fontId="3" fillId="7" borderId="5" xfId="0" applyFont="1" applyFill="1" applyBorder="1" applyAlignment="1">
      <alignment horizontal="center"/>
    </xf>
    <xf numFmtId="0" fontId="3" fillId="7" borderId="5" xfId="0" applyFont="1" applyFill="1" applyBorder="1"/>
    <xf numFmtId="0" fontId="3" fillId="8" borderId="2" xfId="0" applyFont="1" applyFill="1" applyBorder="1" applyAlignment="1">
      <alignment horizontal="center"/>
    </xf>
    <xf numFmtId="0" fontId="3" fillId="8" borderId="1" xfId="0" applyFont="1" applyFill="1" applyBorder="1"/>
    <xf numFmtId="0" fontId="3" fillId="8" borderId="16" xfId="0" applyFont="1" applyFill="1" applyBorder="1" applyAlignment="1">
      <alignment horizontal="center"/>
    </xf>
    <xf numFmtId="0" fontId="3" fillId="8" borderId="5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/>
    <xf numFmtId="0" fontId="3" fillId="9" borderId="1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left"/>
    </xf>
    <xf numFmtId="0" fontId="3" fillId="9" borderId="12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2" fillId="9" borderId="4" xfId="0" applyFont="1" applyFill="1" applyBorder="1" applyAlignment="1">
      <alignment horizontal="center"/>
    </xf>
    <xf numFmtId="1" fontId="3" fillId="9" borderId="23" xfId="0" applyNumberFormat="1" applyFont="1" applyFill="1" applyBorder="1" applyAlignment="1">
      <alignment horizontal="left"/>
    </xf>
    <xf numFmtId="0" fontId="3" fillId="9" borderId="8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0" fontId="3" fillId="9" borderId="23" xfId="0" applyFont="1" applyFill="1" applyBorder="1" applyAlignment="1">
      <alignment horizontal="left"/>
    </xf>
    <xf numFmtId="0" fontId="3" fillId="9" borderId="24" xfId="0" applyFont="1" applyFill="1" applyBorder="1" applyAlignment="1">
      <alignment horizontal="left"/>
    </xf>
    <xf numFmtId="0" fontId="3" fillId="9" borderId="9" xfId="0" applyFont="1" applyFill="1" applyBorder="1" applyAlignment="1">
      <alignment horizontal="left"/>
    </xf>
    <xf numFmtId="0" fontId="3" fillId="9" borderId="5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center"/>
    </xf>
    <xf numFmtId="0" fontId="3" fillId="9" borderId="25" xfId="0" applyFont="1" applyFill="1" applyBorder="1" applyAlignment="1">
      <alignment horizontal="left"/>
    </xf>
    <xf numFmtId="0" fontId="3" fillId="9" borderId="13" xfId="0" applyFont="1" applyFill="1" applyBorder="1" applyAlignment="1">
      <alignment horizontal="left"/>
    </xf>
    <xf numFmtId="0" fontId="3" fillId="9" borderId="14" xfId="0" applyFont="1" applyFill="1" applyBorder="1" applyAlignment="1">
      <alignment horizontal="left"/>
    </xf>
    <xf numFmtId="0" fontId="2" fillId="9" borderId="1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 vertical="justify"/>
    </xf>
    <xf numFmtId="0" fontId="2" fillId="9" borderId="8" xfId="0" applyFont="1" applyFill="1" applyBorder="1" applyAlignment="1">
      <alignment horizontal="left" vertical="justify"/>
    </xf>
    <xf numFmtId="0" fontId="2" fillId="9" borderId="4" xfId="0" applyFont="1" applyFill="1" applyBorder="1" applyAlignment="1">
      <alignment horizontal="left" vertical="justify"/>
    </xf>
    <xf numFmtId="0" fontId="2" fillId="9" borderId="0" xfId="0" applyFont="1" applyFill="1" applyBorder="1" applyAlignment="1">
      <alignment horizontal="left" vertical="justify"/>
    </xf>
    <xf numFmtId="164" fontId="2" fillId="3" borderId="7" xfId="0" applyNumberFormat="1" applyFont="1" applyFill="1" applyBorder="1" applyAlignment="1">
      <alignment horizontal="left" vertical="justify"/>
    </xf>
    <xf numFmtId="164" fontId="2" fillId="3" borderId="0" xfId="0" applyNumberFormat="1" applyFont="1" applyFill="1" applyBorder="1" applyAlignment="1">
      <alignment horizontal="left" vertical="justify"/>
    </xf>
    <xf numFmtId="164" fontId="2" fillId="3" borderId="4" xfId="0" applyNumberFormat="1" applyFont="1" applyFill="1" applyBorder="1" applyAlignment="1">
      <alignment horizontal="left" vertical="justify"/>
    </xf>
    <xf numFmtId="164" fontId="2" fillId="3" borderId="19" xfId="0" applyNumberFormat="1" applyFont="1" applyFill="1" applyBorder="1" applyAlignment="1">
      <alignment horizontal="left" vertical="justify"/>
    </xf>
    <xf numFmtId="0" fontId="3" fillId="2" borderId="2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left" vertical="justify"/>
    </xf>
    <xf numFmtId="165" fontId="2" fillId="2" borderId="6" xfId="0" applyNumberFormat="1" applyFont="1" applyFill="1" applyBorder="1" applyAlignment="1">
      <alignment horizontal="left" vertical="justify"/>
    </xf>
    <xf numFmtId="164" fontId="2" fillId="2" borderId="0" xfId="0" applyNumberFormat="1" applyFont="1" applyFill="1" applyBorder="1" applyAlignment="1">
      <alignment horizontal="left" vertical="justify"/>
    </xf>
    <xf numFmtId="165" fontId="2" fillId="2" borderId="4" xfId="0" applyNumberFormat="1" applyFont="1" applyFill="1" applyBorder="1" applyAlignment="1">
      <alignment horizontal="left" vertical="justify"/>
    </xf>
    <xf numFmtId="165" fontId="2" fillId="2" borderId="16" xfId="0" applyNumberFormat="1" applyFont="1" applyFill="1" applyBorder="1" applyAlignment="1">
      <alignment horizontal="left" vertical="justify"/>
    </xf>
    <xf numFmtId="0" fontId="3" fillId="2" borderId="17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6" fontId="3" fillId="6" borderId="20" xfId="0" applyNumberFormat="1" applyFont="1" applyFill="1" applyBorder="1" applyAlignment="1">
      <alignment horizontal="center"/>
    </xf>
    <xf numFmtId="166" fontId="3" fillId="6" borderId="6" xfId="0" applyNumberFormat="1" applyFont="1" applyFill="1" applyBorder="1" applyAlignment="1">
      <alignment horizontal="center"/>
    </xf>
    <xf numFmtId="166" fontId="3" fillId="6" borderId="16" xfId="0" applyNumberFormat="1" applyFont="1" applyFill="1" applyBorder="1" applyAlignment="1">
      <alignment horizontal="center"/>
    </xf>
    <xf numFmtId="166" fontId="3" fillId="6" borderId="2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3" fillId="3" borderId="14" xfId="0" applyNumberFormat="1" applyFont="1" applyFill="1" applyBorder="1" applyAlignment="1">
      <alignment horizontal="center"/>
    </xf>
    <xf numFmtId="2" fontId="3" fillId="6" borderId="20" xfId="0" applyNumberFormat="1" applyFont="1" applyFill="1" applyBorder="1" applyAlignment="1">
      <alignment horizontal="center"/>
    </xf>
    <xf numFmtId="2" fontId="3" fillId="6" borderId="6" xfId="0" applyNumberFormat="1" applyFont="1" applyFill="1" applyBorder="1" applyAlignment="1">
      <alignment horizontal="center"/>
    </xf>
    <xf numFmtId="2" fontId="3" fillId="6" borderId="16" xfId="0" applyNumberFormat="1" applyFont="1" applyFill="1" applyBorder="1" applyAlignment="1">
      <alignment horizontal="center"/>
    </xf>
    <xf numFmtId="2" fontId="3" fillId="6" borderId="21" xfId="0" applyNumberFormat="1" applyFont="1" applyFill="1" applyBorder="1" applyAlignment="1">
      <alignment horizontal="center"/>
    </xf>
    <xf numFmtId="2" fontId="3" fillId="7" borderId="20" xfId="0" applyNumberFormat="1" applyFont="1" applyFill="1" applyBorder="1" applyAlignment="1">
      <alignment horizontal="center"/>
    </xf>
    <xf numFmtId="2" fontId="3" fillId="7" borderId="17" xfId="0" applyNumberFormat="1" applyFont="1" applyFill="1" applyBorder="1" applyAlignment="1">
      <alignment horizontal="center"/>
    </xf>
    <xf numFmtId="2" fontId="3" fillId="7" borderId="6" xfId="0" applyNumberFormat="1" applyFont="1" applyFill="1" applyBorder="1" applyAlignment="1">
      <alignment horizontal="center"/>
    </xf>
    <xf numFmtId="2" fontId="3" fillId="7" borderId="4" xfId="0" applyNumberFormat="1" applyFont="1" applyFill="1" applyBorder="1" applyAlignment="1">
      <alignment horizontal="center"/>
    </xf>
    <xf numFmtId="2" fontId="3" fillId="7" borderId="16" xfId="0" applyNumberFormat="1" applyFont="1" applyFill="1" applyBorder="1" applyAlignment="1">
      <alignment horizontal="center"/>
    </xf>
    <xf numFmtId="2" fontId="3" fillId="7" borderId="5" xfId="0" applyNumberFormat="1" applyFont="1" applyFill="1" applyBorder="1" applyAlignment="1">
      <alignment horizontal="center"/>
    </xf>
    <xf numFmtId="2" fontId="3" fillId="7" borderId="21" xfId="0" applyNumberFormat="1" applyFont="1" applyFill="1" applyBorder="1" applyAlignment="1">
      <alignment horizontal="center"/>
    </xf>
    <xf numFmtId="2" fontId="3" fillId="7" borderId="14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topLeftCell="A48" workbookViewId="0">
      <selection activeCell="A64" sqref="A64"/>
    </sheetView>
  </sheetViews>
  <sheetFormatPr baseColWidth="10" defaultRowHeight="14.25" x14ac:dyDescent="0.2"/>
  <cols>
    <col min="1" max="1" width="3.7109375" style="15" customWidth="1"/>
    <col min="2" max="2" width="20" style="15" customWidth="1"/>
    <col min="3" max="3" width="70.5703125" style="15" customWidth="1"/>
    <col min="4" max="16384" width="11.42578125" style="15"/>
  </cols>
  <sheetData>
    <row r="1" spans="1:3" x14ac:dyDescent="0.2">
      <c r="A1" s="14" t="s">
        <v>25</v>
      </c>
      <c r="B1" s="7"/>
      <c r="C1" s="7"/>
    </row>
    <row r="2" spans="1:3" x14ac:dyDescent="0.2">
      <c r="A2" s="7"/>
      <c r="B2" s="12"/>
      <c r="C2" s="7"/>
    </row>
    <row r="3" spans="1:3" x14ac:dyDescent="0.2">
      <c r="A3" s="7" t="s">
        <v>187</v>
      </c>
      <c r="B3" s="7"/>
      <c r="C3" s="7"/>
    </row>
    <row r="4" spans="1:3" x14ac:dyDescent="0.2">
      <c r="A4" s="7" t="s">
        <v>26</v>
      </c>
      <c r="B4" s="7"/>
      <c r="C4" s="7"/>
    </row>
    <row r="5" spans="1:3" x14ac:dyDescent="0.2">
      <c r="A5" s="7" t="s">
        <v>188</v>
      </c>
      <c r="B5" s="7"/>
      <c r="C5" s="7"/>
    </row>
    <row r="6" spans="1:3" x14ac:dyDescent="0.2">
      <c r="A6" s="7"/>
      <c r="B6" s="7"/>
      <c r="C6" s="7"/>
    </row>
    <row r="7" spans="1:3" x14ac:dyDescent="0.2">
      <c r="A7" s="1" t="s">
        <v>0</v>
      </c>
      <c r="B7" s="2" t="s">
        <v>1</v>
      </c>
      <c r="C7" s="3" t="s">
        <v>2</v>
      </c>
    </row>
    <row r="8" spans="1:3" x14ac:dyDescent="0.2">
      <c r="A8" s="70">
        <v>1</v>
      </c>
      <c r="B8" s="90" t="s">
        <v>8</v>
      </c>
      <c r="C8" s="4" t="s">
        <v>9</v>
      </c>
    </row>
    <row r="9" spans="1:3" x14ac:dyDescent="0.2">
      <c r="A9" s="71">
        <v>2</v>
      </c>
      <c r="B9" s="91" t="s">
        <v>3</v>
      </c>
      <c r="C9" s="19" t="s">
        <v>13</v>
      </c>
    </row>
    <row r="10" spans="1:3" x14ac:dyDescent="0.2">
      <c r="A10" s="71">
        <v>3</v>
      </c>
      <c r="B10" s="91" t="s">
        <v>7</v>
      </c>
      <c r="C10" s="19" t="s">
        <v>27</v>
      </c>
    </row>
    <row r="11" spans="1:3" x14ac:dyDescent="0.2">
      <c r="A11" s="71">
        <v>4</v>
      </c>
      <c r="B11" s="92" t="s">
        <v>4</v>
      </c>
      <c r="C11" s="5" t="s">
        <v>14</v>
      </c>
    </row>
    <row r="12" spans="1:3" x14ac:dyDescent="0.2">
      <c r="A12" s="71">
        <v>5</v>
      </c>
      <c r="B12" s="93" t="s">
        <v>139</v>
      </c>
      <c r="C12" s="5" t="s">
        <v>140</v>
      </c>
    </row>
    <row r="13" spans="1:3" x14ac:dyDescent="0.2">
      <c r="A13" s="17">
        <v>6</v>
      </c>
      <c r="B13" s="94" t="s">
        <v>44</v>
      </c>
      <c r="C13" s="8" t="s">
        <v>47</v>
      </c>
    </row>
    <row r="14" spans="1:3" x14ac:dyDescent="0.2">
      <c r="A14" s="18">
        <v>7</v>
      </c>
      <c r="B14" s="95" t="s">
        <v>45</v>
      </c>
      <c r="C14" s="9" t="s">
        <v>48</v>
      </c>
    </row>
    <row r="15" spans="1:3" x14ac:dyDescent="0.2">
      <c r="A15" s="18">
        <v>8</v>
      </c>
      <c r="B15" s="96" t="s">
        <v>46</v>
      </c>
      <c r="C15" s="9" t="s">
        <v>142</v>
      </c>
    </row>
    <row r="16" spans="1:3" x14ac:dyDescent="0.2">
      <c r="A16" s="88">
        <v>9</v>
      </c>
      <c r="B16" s="97" t="s">
        <v>5</v>
      </c>
      <c r="C16" s="32" t="s">
        <v>143</v>
      </c>
    </row>
    <row r="17" spans="1:3" x14ac:dyDescent="0.2">
      <c r="A17" s="66">
        <v>10</v>
      </c>
      <c r="B17" s="102" t="s">
        <v>18</v>
      </c>
      <c r="C17" s="9" t="s">
        <v>144</v>
      </c>
    </row>
    <row r="18" spans="1:3" x14ac:dyDescent="0.2">
      <c r="A18" s="66">
        <v>11</v>
      </c>
      <c r="B18" s="103" t="s">
        <v>183</v>
      </c>
      <c r="C18" s="24" t="s">
        <v>145</v>
      </c>
    </row>
    <row r="19" spans="1:3" x14ac:dyDescent="0.2">
      <c r="A19" s="66">
        <v>12</v>
      </c>
      <c r="B19" s="103" t="s">
        <v>184</v>
      </c>
      <c r="C19" s="24" t="s">
        <v>146</v>
      </c>
    </row>
    <row r="20" spans="1:3" x14ac:dyDescent="0.2">
      <c r="A20" s="66">
        <v>13</v>
      </c>
      <c r="B20" s="104" t="s">
        <v>19</v>
      </c>
      <c r="C20" s="5" t="s">
        <v>147</v>
      </c>
    </row>
    <row r="21" spans="1:3" x14ac:dyDescent="0.2">
      <c r="A21" s="66">
        <v>14</v>
      </c>
      <c r="B21" s="103" t="s">
        <v>185</v>
      </c>
      <c r="C21" s="24" t="s">
        <v>148</v>
      </c>
    </row>
    <row r="22" spans="1:3" x14ac:dyDescent="0.2">
      <c r="A22" s="66">
        <v>15</v>
      </c>
      <c r="B22" s="105" t="s">
        <v>186</v>
      </c>
      <c r="C22" s="24" t="s">
        <v>149</v>
      </c>
    </row>
    <row r="23" spans="1:3" x14ac:dyDescent="0.2">
      <c r="A23" s="68">
        <v>16</v>
      </c>
      <c r="B23" s="106" t="s">
        <v>20</v>
      </c>
      <c r="C23" s="42" t="s">
        <v>150</v>
      </c>
    </row>
    <row r="24" spans="1:3" x14ac:dyDescent="0.2">
      <c r="A24" s="66">
        <v>17</v>
      </c>
      <c r="B24" s="67" t="s">
        <v>181</v>
      </c>
      <c r="C24" s="10" t="s">
        <v>163</v>
      </c>
    </row>
    <row r="25" spans="1:3" x14ac:dyDescent="0.2">
      <c r="A25" s="66">
        <v>18</v>
      </c>
      <c r="B25" s="67" t="s">
        <v>49</v>
      </c>
      <c r="C25" s="10" t="s">
        <v>164</v>
      </c>
    </row>
    <row r="26" spans="1:3" x14ac:dyDescent="0.2">
      <c r="A26" s="68">
        <v>19</v>
      </c>
      <c r="B26" s="69" t="s">
        <v>50</v>
      </c>
      <c r="C26" s="11" t="s">
        <v>165</v>
      </c>
    </row>
    <row r="27" spans="1:3" x14ac:dyDescent="0.2">
      <c r="A27" s="34">
        <v>20</v>
      </c>
      <c r="B27" s="37" t="s">
        <v>22</v>
      </c>
      <c r="C27" s="10" t="s">
        <v>166</v>
      </c>
    </row>
    <row r="28" spans="1:3" x14ac:dyDescent="0.2">
      <c r="A28" s="34">
        <v>21</v>
      </c>
      <c r="B28" s="37" t="s">
        <v>21</v>
      </c>
      <c r="C28" s="10" t="s">
        <v>167</v>
      </c>
    </row>
    <row r="29" spans="1:3" x14ac:dyDescent="0.2">
      <c r="A29" s="34">
        <v>22</v>
      </c>
      <c r="B29" s="37" t="s">
        <v>23</v>
      </c>
      <c r="C29" s="10" t="s">
        <v>168</v>
      </c>
    </row>
    <row r="30" spans="1:3" x14ac:dyDescent="0.2">
      <c r="A30" s="34">
        <v>23</v>
      </c>
      <c r="B30" s="37" t="s">
        <v>182</v>
      </c>
      <c r="C30" s="10" t="s">
        <v>160</v>
      </c>
    </row>
    <row r="31" spans="1:3" x14ac:dyDescent="0.2">
      <c r="A31" s="34">
        <v>24</v>
      </c>
      <c r="B31" s="37" t="s">
        <v>52</v>
      </c>
      <c r="C31" s="10" t="s">
        <v>58</v>
      </c>
    </row>
    <row r="32" spans="1:3" x14ac:dyDescent="0.2">
      <c r="A32" s="34">
        <v>25</v>
      </c>
      <c r="B32" s="37" t="s">
        <v>53</v>
      </c>
      <c r="C32" s="10" t="s">
        <v>59</v>
      </c>
    </row>
    <row r="33" spans="1:3" x14ac:dyDescent="0.2">
      <c r="A33" s="34">
        <v>26</v>
      </c>
      <c r="B33" s="37" t="s">
        <v>54</v>
      </c>
      <c r="C33" s="10" t="s">
        <v>60</v>
      </c>
    </row>
    <row r="34" spans="1:3" x14ac:dyDescent="0.2">
      <c r="A34" s="34">
        <v>27</v>
      </c>
      <c r="B34" s="37" t="s">
        <v>55</v>
      </c>
      <c r="C34" s="10" t="s">
        <v>61</v>
      </c>
    </row>
    <row r="35" spans="1:3" x14ac:dyDescent="0.2">
      <c r="A35" s="34">
        <v>28</v>
      </c>
      <c r="B35" s="37" t="s">
        <v>56</v>
      </c>
      <c r="C35" s="10" t="s">
        <v>62</v>
      </c>
    </row>
    <row r="36" spans="1:3" x14ac:dyDescent="0.2">
      <c r="A36" s="35">
        <v>29</v>
      </c>
      <c r="B36" s="38" t="s">
        <v>57</v>
      </c>
      <c r="C36" s="11" t="s">
        <v>63</v>
      </c>
    </row>
    <row r="37" spans="1:3" x14ac:dyDescent="0.2">
      <c r="A37" s="54">
        <v>30</v>
      </c>
      <c r="B37" s="55" t="s">
        <v>173</v>
      </c>
      <c r="C37" s="10" t="s">
        <v>190</v>
      </c>
    </row>
    <row r="38" spans="1:3" x14ac:dyDescent="0.2">
      <c r="A38" s="129">
        <v>31</v>
      </c>
      <c r="B38" s="55" t="s">
        <v>174</v>
      </c>
      <c r="C38" s="10" t="s">
        <v>191</v>
      </c>
    </row>
    <row r="39" spans="1:3" x14ac:dyDescent="0.2">
      <c r="A39" s="56">
        <v>32</v>
      </c>
      <c r="B39" s="57" t="s">
        <v>189</v>
      </c>
      <c r="C39" s="11" t="s">
        <v>192</v>
      </c>
    </row>
    <row r="40" spans="1:3" x14ac:dyDescent="0.2">
      <c r="A40" s="58">
        <v>33</v>
      </c>
      <c r="B40" s="59" t="s">
        <v>64</v>
      </c>
      <c r="C40" s="10" t="s">
        <v>161</v>
      </c>
    </row>
    <row r="41" spans="1:3" x14ac:dyDescent="0.2">
      <c r="A41" s="58">
        <v>34</v>
      </c>
      <c r="B41" s="59" t="s">
        <v>65</v>
      </c>
      <c r="C41" s="10" t="s">
        <v>161</v>
      </c>
    </row>
    <row r="42" spans="1:3" x14ac:dyDescent="0.2">
      <c r="A42" s="60">
        <v>35</v>
      </c>
      <c r="B42" s="61" t="s">
        <v>66</v>
      </c>
      <c r="C42" s="11" t="s">
        <v>161</v>
      </c>
    </row>
    <row r="43" spans="1:3" x14ac:dyDescent="0.2">
      <c r="A43" s="62">
        <v>36</v>
      </c>
      <c r="B43" s="63" t="s">
        <v>169</v>
      </c>
      <c r="C43" s="44" t="s">
        <v>175</v>
      </c>
    </row>
    <row r="44" spans="1:3" x14ac:dyDescent="0.2">
      <c r="A44" s="64">
        <v>37</v>
      </c>
      <c r="B44" s="65" t="s">
        <v>170</v>
      </c>
      <c r="C44" s="45" t="s">
        <v>176</v>
      </c>
    </row>
    <row r="45" spans="1:3" x14ac:dyDescent="0.2">
      <c r="A45" s="33"/>
    </row>
    <row r="46" spans="1:3" ht="15" x14ac:dyDescent="0.25">
      <c r="A46" s="21" t="s">
        <v>10</v>
      </c>
    </row>
    <row r="47" spans="1:3" x14ac:dyDescent="0.2">
      <c r="A47" s="7" t="s">
        <v>162</v>
      </c>
    </row>
    <row r="48" spans="1:3" x14ac:dyDescent="0.2">
      <c r="A48" s="7"/>
    </row>
    <row r="49" spans="1:1" s="7" customFormat="1" ht="12.75" x14ac:dyDescent="0.2">
      <c r="A49" s="7" t="s">
        <v>196</v>
      </c>
    </row>
    <row r="50" spans="1:1" s="7" customFormat="1" ht="12.75" x14ac:dyDescent="0.2"/>
    <row r="51" spans="1:1" s="7" customFormat="1" ht="12.75" x14ac:dyDescent="0.2">
      <c r="A51" s="7" t="s">
        <v>28</v>
      </c>
    </row>
    <row r="52" spans="1:1" s="7" customFormat="1" ht="12.75" x14ac:dyDescent="0.2">
      <c r="A52" s="7" t="s">
        <v>15</v>
      </c>
    </row>
    <row r="53" spans="1:1" s="7" customFormat="1" ht="12.75" x14ac:dyDescent="0.2"/>
    <row r="54" spans="1:1" s="7" customFormat="1" ht="12.75" x14ac:dyDescent="0.2">
      <c r="A54" s="7" t="s">
        <v>197</v>
      </c>
    </row>
    <row r="55" spans="1:1" s="7" customFormat="1" ht="12.75" x14ac:dyDescent="0.2">
      <c r="A55" s="27"/>
    </row>
    <row r="56" spans="1:1" s="7" customFormat="1" ht="12.75" x14ac:dyDescent="0.2">
      <c r="A56" s="43" t="s">
        <v>198</v>
      </c>
    </row>
    <row r="57" spans="1:1" s="7" customFormat="1" ht="12.75" x14ac:dyDescent="0.2">
      <c r="A57" s="43"/>
    </row>
    <row r="58" spans="1:1" s="7" customFormat="1" ht="12.75" x14ac:dyDescent="0.2">
      <c r="A58" s="43" t="s">
        <v>199</v>
      </c>
    </row>
    <row r="59" spans="1:1" s="7" customFormat="1" ht="12.75" x14ac:dyDescent="0.2">
      <c r="A59" s="43"/>
    </row>
    <row r="60" spans="1:1" ht="15" x14ac:dyDescent="0.25">
      <c r="A60" s="16" t="s">
        <v>11</v>
      </c>
    </row>
    <row r="62" spans="1:1" x14ac:dyDescent="0.2">
      <c r="A62" s="28" t="s">
        <v>201</v>
      </c>
    </row>
    <row r="63" spans="1:1" x14ac:dyDescent="0.2">
      <c r="A63" s="7" t="s">
        <v>200</v>
      </c>
    </row>
    <row r="64" spans="1:1" x14ac:dyDescent="0.2">
      <c r="A64" s="7" t="s">
        <v>202</v>
      </c>
    </row>
    <row r="66" spans="1:1" s="7" customFormat="1" ht="12.75" x14ac:dyDescent="0.2">
      <c r="A66" s="22" t="s">
        <v>193</v>
      </c>
    </row>
    <row r="67" spans="1:1" s="7" customFormat="1" ht="12.75" x14ac:dyDescent="0.2">
      <c r="A67" s="7" t="s">
        <v>6</v>
      </c>
    </row>
    <row r="68" spans="1:1" s="7" customFormat="1" ht="12.75" x14ac:dyDescent="0.2">
      <c r="A68" s="23" t="s">
        <v>12</v>
      </c>
    </row>
    <row r="69" spans="1:1" s="7" customFormat="1" ht="12.75" x14ac:dyDescent="0.2"/>
    <row r="70" spans="1:1" s="7" customFormat="1" ht="12.75" x14ac:dyDescent="0.2">
      <c r="A70" s="28" t="s">
        <v>194</v>
      </c>
    </row>
    <row r="71" spans="1:1" s="7" customFormat="1" ht="12.75" x14ac:dyDescent="0.2">
      <c r="A71" s="7" t="s">
        <v>16</v>
      </c>
    </row>
    <row r="72" spans="1:1" s="7" customFormat="1" ht="12.75" x14ac:dyDescent="0.2">
      <c r="A72" s="7" t="s">
        <v>17</v>
      </c>
    </row>
    <row r="74" spans="1:1" x14ac:dyDescent="0.2">
      <c r="A74" s="28" t="s">
        <v>195</v>
      </c>
    </row>
    <row r="75" spans="1:1" x14ac:dyDescent="0.2">
      <c r="A75" s="7" t="s">
        <v>171</v>
      </c>
    </row>
    <row r="76" spans="1:1" x14ac:dyDescent="0.2">
      <c r="A76" s="7" t="s">
        <v>172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822"/>
  <sheetViews>
    <sheetView topLeftCell="G1" zoomScale="68" zoomScaleNormal="70" workbookViewId="0">
      <selection activeCell="AL1" sqref="AL1:AN1048576"/>
    </sheetView>
  </sheetViews>
  <sheetFormatPr baseColWidth="10" defaultRowHeight="15" x14ac:dyDescent="0.25"/>
  <cols>
    <col min="1" max="1" width="3.5703125" style="20" customWidth="1"/>
    <col min="2" max="2" width="23.28515625" style="20" customWidth="1"/>
    <col min="3" max="3" width="22" style="20" customWidth="1"/>
    <col min="4" max="5" width="15.5703125" style="20" customWidth="1"/>
    <col min="6" max="8" width="8.28515625" style="26" customWidth="1"/>
    <col min="9" max="9" width="14.140625" style="26" customWidth="1"/>
    <col min="10" max="10" width="7.28515625" style="26" customWidth="1"/>
    <col min="11" max="11" width="11.7109375" style="26" customWidth="1"/>
    <col min="12" max="12" width="15.7109375" style="26" customWidth="1"/>
    <col min="13" max="13" width="6.5703125" style="26" customWidth="1"/>
    <col min="14" max="14" width="12.140625" style="26" customWidth="1"/>
    <col min="15" max="15" width="16.42578125" style="26" customWidth="1"/>
    <col min="16" max="16" width="7.85546875" style="26" customWidth="1"/>
    <col min="17" max="17" width="11.42578125" style="25" customWidth="1"/>
    <col min="18" max="22" width="10.140625" style="25" customWidth="1"/>
    <col min="23" max="23" width="15.5703125" style="25" customWidth="1"/>
    <col min="24" max="24" width="10.140625" style="25" customWidth="1"/>
    <col min="25" max="25" width="12.7109375" style="25" customWidth="1"/>
    <col min="26" max="26" width="10.140625" style="25" customWidth="1"/>
    <col min="27" max="27" width="11.85546875" style="25" customWidth="1"/>
    <col min="28" max="34" width="12.140625" style="25" customWidth="1"/>
    <col min="35" max="37" width="11.42578125" style="25" customWidth="1"/>
    <col min="38" max="16384" width="11.42578125" style="6"/>
  </cols>
  <sheetData>
    <row r="1" spans="1:37" s="13" customFormat="1" ht="15.75" thickBot="1" x14ac:dyDescent="0.3">
      <c r="A1" s="31" t="s">
        <v>8</v>
      </c>
      <c r="B1" s="29" t="s">
        <v>3</v>
      </c>
      <c r="C1" s="30" t="s">
        <v>7</v>
      </c>
      <c r="D1" s="31" t="s">
        <v>4</v>
      </c>
      <c r="E1" s="31" t="s">
        <v>139</v>
      </c>
      <c r="F1" s="31" t="s">
        <v>44</v>
      </c>
      <c r="G1" s="31" t="s">
        <v>45</v>
      </c>
      <c r="H1" s="31" t="s">
        <v>46</v>
      </c>
      <c r="I1" s="31" t="s">
        <v>5</v>
      </c>
      <c r="J1" s="31" t="s">
        <v>18</v>
      </c>
      <c r="K1" s="31" t="s">
        <v>177</v>
      </c>
      <c r="L1" s="31" t="s">
        <v>178</v>
      </c>
      <c r="M1" s="31" t="s">
        <v>19</v>
      </c>
      <c r="N1" s="31" t="s">
        <v>179</v>
      </c>
      <c r="O1" s="31" t="s">
        <v>180</v>
      </c>
      <c r="P1" s="31" t="s">
        <v>20</v>
      </c>
      <c r="Q1" s="31" t="s">
        <v>181</v>
      </c>
      <c r="R1" s="31" t="s">
        <v>49</v>
      </c>
      <c r="S1" s="31" t="s">
        <v>50</v>
      </c>
      <c r="T1" s="31" t="s">
        <v>51</v>
      </c>
      <c r="U1" s="31" t="s">
        <v>24</v>
      </c>
      <c r="V1" s="31" t="s">
        <v>23</v>
      </c>
      <c r="W1" s="31" t="s">
        <v>182</v>
      </c>
      <c r="X1" s="31" t="s">
        <v>52</v>
      </c>
      <c r="Y1" s="31" t="s">
        <v>53</v>
      </c>
      <c r="Z1" s="31" t="s">
        <v>54</v>
      </c>
      <c r="AA1" s="31" t="s">
        <v>55</v>
      </c>
      <c r="AB1" s="31" t="s">
        <v>56</v>
      </c>
      <c r="AC1" s="31" t="s">
        <v>57</v>
      </c>
      <c r="AD1" s="31" t="s">
        <v>173</v>
      </c>
      <c r="AE1" s="31" t="s">
        <v>174</v>
      </c>
      <c r="AF1" s="31" t="s">
        <v>189</v>
      </c>
      <c r="AG1" s="31" t="s">
        <v>64</v>
      </c>
      <c r="AH1" s="31" t="s">
        <v>65</v>
      </c>
      <c r="AI1" s="31" t="s">
        <v>66</v>
      </c>
      <c r="AJ1" s="46" t="s">
        <v>169</v>
      </c>
      <c r="AK1" s="47" t="s">
        <v>170</v>
      </c>
    </row>
    <row r="2" spans="1:37" x14ac:dyDescent="0.25">
      <c r="A2" s="72">
        <v>1</v>
      </c>
      <c r="B2" s="73" t="s">
        <v>29</v>
      </c>
      <c r="C2" s="73" t="s">
        <v>151</v>
      </c>
      <c r="D2" s="74" t="s">
        <v>67</v>
      </c>
      <c r="E2" s="75">
        <v>0</v>
      </c>
      <c r="F2" s="17">
        <v>82.44</v>
      </c>
      <c r="G2" s="17">
        <v>59.65</v>
      </c>
      <c r="H2" s="17">
        <v>19.71</v>
      </c>
      <c r="I2" s="113">
        <f>100*(F2-G2)/(G2-H2)</f>
        <v>57.06</v>
      </c>
      <c r="J2" s="66">
        <v>738</v>
      </c>
      <c r="K2" s="66" t="s">
        <v>141</v>
      </c>
      <c r="L2" s="66" t="s">
        <v>141</v>
      </c>
      <c r="M2" s="66">
        <v>194</v>
      </c>
      <c r="N2" s="66" t="s">
        <v>141</v>
      </c>
      <c r="O2" s="66" t="s">
        <v>141</v>
      </c>
      <c r="P2" s="66">
        <v>68</v>
      </c>
      <c r="Q2" s="66" t="s">
        <v>141</v>
      </c>
      <c r="R2" s="107" t="s">
        <v>141</v>
      </c>
      <c r="S2" s="98" t="s">
        <v>141</v>
      </c>
      <c r="T2" s="39">
        <v>14.4</v>
      </c>
      <c r="U2" s="39">
        <v>117</v>
      </c>
      <c r="V2" s="39">
        <v>1.35</v>
      </c>
      <c r="W2" s="39" t="s">
        <v>141</v>
      </c>
      <c r="X2" s="39" t="s">
        <v>141</v>
      </c>
      <c r="Y2" s="39" t="s">
        <v>141</v>
      </c>
      <c r="Z2" s="39" t="s">
        <v>141</v>
      </c>
      <c r="AA2" s="39" t="s">
        <v>141</v>
      </c>
      <c r="AB2" s="39" t="s">
        <v>141</v>
      </c>
      <c r="AC2" s="39" t="s">
        <v>141</v>
      </c>
      <c r="AD2" s="109">
        <v>4.1000000000000002E-2</v>
      </c>
      <c r="AE2" s="117">
        <v>0.43</v>
      </c>
      <c r="AF2" s="109">
        <v>0</v>
      </c>
      <c r="AG2" s="121">
        <v>62.77</v>
      </c>
      <c r="AH2" s="121">
        <v>5.03</v>
      </c>
      <c r="AI2" s="122">
        <v>196.84</v>
      </c>
      <c r="AJ2" s="48">
        <v>1.0656000000000001</v>
      </c>
      <c r="AK2" s="49">
        <v>2.1399999999999999E-2</v>
      </c>
    </row>
    <row r="3" spans="1:37" x14ac:dyDescent="0.25">
      <c r="A3" s="76">
        <v>1</v>
      </c>
      <c r="B3" s="77" t="s">
        <v>29</v>
      </c>
      <c r="C3" s="78" t="s">
        <v>152</v>
      </c>
      <c r="D3" s="77" t="s">
        <v>68</v>
      </c>
      <c r="E3" s="75">
        <v>0</v>
      </c>
      <c r="F3" s="18">
        <v>79.319999999999993</v>
      </c>
      <c r="G3" s="18">
        <v>59.65</v>
      </c>
      <c r="H3" s="18">
        <v>19.71</v>
      </c>
      <c r="I3" s="114">
        <f>100*(F3-G3)/(G3-H3)</f>
        <v>49.25</v>
      </c>
      <c r="J3" s="66">
        <v>738</v>
      </c>
      <c r="K3" s="66" t="s">
        <v>141</v>
      </c>
      <c r="L3" s="66" t="s">
        <v>141</v>
      </c>
      <c r="M3" s="66">
        <v>194</v>
      </c>
      <c r="N3" s="66" t="s">
        <v>141</v>
      </c>
      <c r="O3" s="66" t="s">
        <v>141</v>
      </c>
      <c r="P3" s="66">
        <v>68</v>
      </c>
      <c r="Q3" s="66" t="s">
        <v>141</v>
      </c>
      <c r="R3" s="66" t="s">
        <v>141</v>
      </c>
      <c r="S3" s="99" t="s">
        <v>141</v>
      </c>
      <c r="T3" s="36">
        <v>14.4</v>
      </c>
      <c r="U3" s="36">
        <v>117</v>
      </c>
      <c r="V3" s="36">
        <v>1.35</v>
      </c>
      <c r="W3" s="36" t="s">
        <v>141</v>
      </c>
      <c r="X3" s="36" t="s">
        <v>141</v>
      </c>
      <c r="Y3" s="36" t="s">
        <v>141</v>
      </c>
      <c r="Z3" s="36" t="s">
        <v>141</v>
      </c>
      <c r="AA3" s="36" t="s">
        <v>141</v>
      </c>
      <c r="AB3" s="36" t="s">
        <v>141</v>
      </c>
      <c r="AC3" s="36" t="s">
        <v>141</v>
      </c>
      <c r="AD3" s="110">
        <v>3.56E-2</v>
      </c>
      <c r="AE3" s="118">
        <v>0.41</v>
      </c>
      <c r="AF3" s="110">
        <v>0</v>
      </c>
      <c r="AG3" s="123">
        <v>62.77</v>
      </c>
      <c r="AH3" s="123">
        <v>5.03</v>
      </c>
      <c r="AI3" s="124">
        <v>196.84</v>
      </c>
      <c r="AJ3" s="48">
        <v>1.0656000000000001</v>
      </c>
      <c r="AK3" s="49">
        <v>2.1399999999999999E-2</v>
      </c>
    </row>
    <row r="4" spans="1:37" x14ac:dyDescent="0.25">
      <c r="A4" s="79">
        <v>1</v>
      </c>
      <c r="B4" s="77" t="s">
        <v>29</v>
      </c>
      <c r="C4" s="78" t="s">
        <v>153</v>
      </c>
      <c r="D4" s="77" t="s">
        <v>69</v>
      </c>
      <c r="E4" s="75">
        <v>0</v>
      </c>
      <c r="F4" s="18">
        <v>77.650000000000006</v>
      </c>
      <c r="G4" s="18">
        <v>59.65</v>
      </c>
      <c r="H4" s="18">
        <v>19.71</v>
      </c>
      <c r="I4" s="114">
        <f t="shared" ref="I4:I67" si="0">100*(F4-G4)/(G4-H4)</f>
        <v>45.07</v>
      </c>
      <c r="J4" s="66">
        <v>738</v>
      </c>
      <c r="K4" s="66" t="s">
        <v>141</v>
      </c>
      <c r="L4" s="66" t="s">
        <v>141</v>
      </c>
      <c r="M4" s="66">
        <v>194</v>
      </c>
      <c r="N4" s="66" t="s">
        <v>141</v>
      </c>
      <c r="O4" s="66" t="s">
        <v>141</v>
      </c>
      <c r="P4" s="66">
        <v>68</v>
      </c>
      <c r="Q4" s="66" t="s">
        <v>141</v>
      </c>
      <c r="R4" s="66" t="s">
        <v>141</v>
      </c>
      <c r="S4" s="99" t="s">
        <v>141</v>
      </c>
      <c r="T4" s="36">
        <v>14.4</v>
      </c>
      <c r="U4" s="36">
        <v>117</v>
      </c>
      <c r="V4" s="36">
        <v>1.35</v>
      </c>
      <c r="W4" s="36" t="s">
        <v>141</v>
      </c>
      <c r="X4" s="36" t="s">
        <v>141</v>
      </c>
      <c r="Y4" s="36" t="s">
        <v>141</v>
      </c>
      <c r="Z4" s="36" t="s">
        <v>141</v>
      </c>
      <c r="AA4" s="36" t="s">
        <v>141</v>
      </c>
      <c r="AB4" s="36" t="s">
        <v>141</v>
      </c>
      <c r="AC4" s="36" t="s">
        <v>141</v>
      </c>
      <c r="AD4" s="110">
        <v>3.4000000000000002E-2</v>
      </c>
      <c r="AE4" s="118">
        <v>0.4</v>
      </c>
      <c r="AF4" s="110">
        <v>0</v>
      </c>
      <c r="AG4" s="123">
        <v>62.77</v>
      </c>
      <c r="AH4" s="123">
        <v>5.03</v>
      </c>
      <c r="AI4" s="124">
        <v>196.84</v>
      </c>
      <c r="AJ4" s="48">
        <v>1.0656000000000001</v>
      </c>
      <c r="AK4" s="49">
        <v>2.1399999999999999E-2</v>
      </c>
    </row>
    <row r="5" spans="1:37" x14ac:dyDescent="0.25">
      <c r="A5" s="79">
        <v>1</v>
      </c>
      <c r="B5" s="77" t="s">
        <v>29</v>
      </c>
      <c r="C5" s="78" t="s">
        <v>154</v>
      </c>
      <c r="D5" s="77" t="s">
        <v>70</v>
      </c>
      <c r="E5" s="75">
        <v>0</v>
      </c>
      <c r="F5" s="18">
        <v>75.760000000000005</v>
      </c>
      <c r="G5" s="18">
        <v>59.65</v>
      </c>
      <c r="H5" s="18">
        <v>19.71</v>
      </c>
      <c r="I5" s="114">
        <f t="shared" si="0"/>
        <v>40.340000000000003</v>
      </c>
      <c r="J5" s="66">
        <v>738</v>
      </c>
      <c r="K5" s="66" t="s">
        <v>141</v>
      </c>
      <c r="L5" s="66" t="s">
        <v>141</v>
      </c>
      <c r="M5" s="66">
        <v>194</v>
      </c>
      <c r="N5" s="66" t="s">
        <v>141</v>
      </c>
      <c r="O5" s="66" t="s">
        <v>141</v>
      </c>
      <c r="P5" s="66">
        <v>68</v>
      </c>
      <c r="Q5" s="66" t="s">
        <v>141</v>
      </c>
      <c r="R5" s="66" t="s">
        <v>141</v>
      </c>
      <c r="S5" s="99" t="s">
        <v>141</v>
      </c>
      <c r="T5" s="36">
        <v>14.4</v>
      </c>
      <c r="U5" s="36">
        <v>117</v>
      </c>
      <c r="V5" s="36">
        <v>1.35</v>
      </c>
      <c r="W5" s="36" t="s">
        <v>141</v>
      </c>
      <c r="X5" s="36" t="s">
        <v>141</v>
      </c>
      <c r="Y5" s="36" t="s">
        <v>141</v>
      </c>
      <c r="Z5" s="36" t="s">
        <v>141</v>
      </c>
      <c r="AA5" s="36" t="s">
        <v>141</v>
      </c>
      <c r="AB5" s="36" t="s">
        <v>141</v>
      </c>
      <c r="AC5" s="36" t="s">
        <v>141</v>
      </c>
      <c r="AD5" s="110">
        <v>3.0800000000000001E-2</v>
      </c>
      <c r="AE5" s="118">
        <v>0.38</v>
      </c>
      <c r="AF5" s="110">
        <v>0</v>
      </c>
      <c r="AG5" s="123">
        <v>62.77</v>
      </c>
      <c r="AH5" s="123">
        <v>5.03</v>
      </c>
      <c r="AI5" s="124">
        <v>196.84</v>
      </c>
      <c r="AJ5" s="48">
        <v>1.0656000000000001</v>
      </c>
      <c r="AK5" s="49">
        <v>2.1399999999999999E-2</v>
      </c>
    </row>
    <row r="6" spans="1:37" x14ac:dyDescent="0.25">
      <c r="A6" s="79">
        <v>1</v>
      </c>
      <c r="B6" s="77" t="s">
        <v>29</v>
      </c>
      <c r="C6" s="78" t="s">
        <v>155</v>
      </c>
      <c r="D6" s="77" t="s">
        <v>71</v>
      </c>
      <c r="E6" s="75">
        <v>0</v>
      </c>
      <c r="F6" s="18">
        <v>74.11</v>
      </c>
      <c r="G6" s="18">
        <v>59.65</v>
      </c>
      <c r="H6" s="18">
        <v>19.71</v>
      </c>
      <c r="I6" s="114">
        <f t="shared" si="0"/>
        <v>36.200000000000003</v>
      </c>
      <c r="J6" s="66">
        <v>738</v>
      </c>
      <c r="K6" s="66" t="s">
        <v>141</v>
      </c>
      <c r="L6" s="66" t="s">
        <v>141</v>
      </c>
      <c r="M6" s="66">
        <v>194</v>
      </c>
      <c r="N6" s="66" t="s">
        <v>141</v>
      </c>
      <c r="O6" s="66" t="s">
        <v>141</v>
      </c>
      <c r="P6" s="66">
        <v>68</v>
      </c>
      <c r="Q6" s="66" t="s">
        <v>141</v>
      </c>
      <c r="R6" s="66" t="s">
        <v>141</v>
      </c>
      <c r="S6" s="99" t="s">
        <v>141</v>
      </c>
      <c r="T6" s="36">
        <v>14.4</v>
      </c>
      <c r="U6" s="36">
        <v>117</v>
      </c>
      <c r="V6" s="36">
        <v>1.35</v>
      </c>
      <c r="W6" s="36" t="s">
        <v>141</v>
      </c>
      <c r="X6" s="36" t="s">
        <v>141</v>
      </c>
      <c r="Y6" s="36" t="s">
        <v>141</v>
      </c>
      <c r="Z6" s="36" t="s">
        <v>141</v>
      </c>
      <c r="AA6" s="36" t="s">
        <v>141</v>
      </c>
      <c r="AB6" s="36" t="s">
        <v>141</v>
      </c>
      <c r="AC6" s="36" t="s">
        <v>141</v>
      </c>
      <c r="AD6" s="110">
        <v>2.8400000000000002E-2</v>
      </c>
      <c r="AE6" s="118">
        <v>0.35</v>
      </c>
      <c r="AF6" s="110">
        <v>0</v>
      </c>
      <c r="AG6" s="123">
        <v>62.77</v>
      </c>
      <c r="AH6" s="123">
        <v>5.03</v>
      </c>
      <c r="AI6" s="124">
        <v>196.84</v>
      </c>
      <c r="AJ6" s="48">
        <v>1.0656000000000001</v>
      </c>
      <c r="AK6" s="49">
        <v>2.1399999999999999E-2</v>
      </c>
    </row>
    <row r="7" spans="1:37" x14ac:dyDescent="0.25">
      <c r="A7" s="79">
        <v>1</v>
      </c>
      <c r="B7" s="77" t="s">
        <v>29</v>
      </c>
      <c r="C7" s="78" t="s">
        <v>156</v>
      </c>
      <c r="D7" s="77" t="s">
        <v>72</v>
      </c>
      <c r="E7" s="75">
        <v>0</v>
      </c>
      <c r="F7" s="18">
        <v>72.27</v>
      </c>
      <c r="G7" s="18">
        <v>59.65</v>
      </c>
      <c r="H7" s="18">
        <v>19.71</v>
      </c>
      <c r="I7" s="114">
        <f t="shared" si="0"/>
        <v>31.6</v>
      </c>
      <c r="J7" s="66">
        <v>738</v>
      </c>
      <c r="K7" s="66" t="s">
        <v>141</v>
      </c>
      <c r="L7" s="66" t="s">
        <v>141</v>
      </c>
      <c r="M7" s="66">
        <v>194</v>
      </c>
      <c r="N7" s="66" t="s">
        <v>141</v>
      </c>
      <c r="O7" s="66" t="s">
        <v>141</v>
      </c>
      <c r="P7" s="66">
        <v>68</v>
      </c>
      <c r="Q7" s="66" t="s">
        <v>141</v>
      </c>
      <c r="R7" s="66" t="s">
        <v>141</v>
      </c>
      <c r="S7" s="99" t="s">
        <v>141</v>
      </c>
      <c r="T7" s="36">
        <v>14.4</v>
      </c>
      <c r="U7" s="36">
        <v>117</v>
      </c>
      <c r="V7" s="36">
        <v>1.35</v>
      </c>
      <c r="W7" s="36" t="s">
        <v>141</v>
      </c>
      <c r="X7" s="36" t="s">
        <v>141</v>
      </c>
      <c r="Y7" s="36" t="s">
        <v>141</v>
      </c>
      <c r="Z7" s="36" t="s">
        <v>141</v>
      </c>
      <c r="AA7" s="36" t="s">
        <v>141</v>
      </c>
      <c r="AB7" s="36" t="s">
        <v>141</v>
      </c>
      <c r="AC7" s="36" t="s">
        <v>141</v>
      </c>
      <c r="AD7" s="110">
        <v>2.5100000000000001E-2</v>
      </c>
      <c r="AE7" s="118">
        <v>0.33</v>
      </c>
      <c r="AF7" s="110">
        <v>0</v>
      </c>
      <c r="AG7" s="123">
        <v>62.77</v>
      </c>
      <c r="AH7" s="123">
        <v>5.03</v>
      </c>
      <c r="AI7" s="124">
        <v>196.84</v>
      </c>
      <c r="AJ7" s="48">
        <v>1.0656000000000001</v>
      </c>
      <c r="AK7" s="49">
        <v>2.1399999999999999E-2</v>
      </c>
    </row>
    <row r="8" spans="1:37" x14ac:dyDescent="0.25">
      <c r="A8" s="79">
        <v>1</v>
      </c>
      <c r="B8" s="77" t="s">
        <v>29</v>
      </c>
      <c r="C8" s="78" t="s">
        <v>157</v>
      </c>
      <c r="D8" s="77" t="s">
        <v>73</v>
      </c>
      <c r="E8" s="75">
        <v>0</v>
      </c>
      <c r="F8" s="18">
        <v>70.569999999999993</v>
      </c>
      <c r="G8" s="18">
        <v>59.65</v>
      </c>
      <c r="H8" s="18">
        <v>19.71</v>
      </c>
      <c r="I8" s="114">
        <f t="shared" si="0"/>
        <v>27.34</v>
      </c>
      <c r="J8" s="66">
        <v>738</v>
      </c>
      <c r="K8" s="66" t="s">
        <v>141</v>
      </c>
      <c r="L8" s="66" t="s">
        <v>141</v>
      </c>
      <c r="M8" s="66">
        <v>194</v>
      </c>
      <c r="N8" s="66" t="s">
        <v>141</v>
      </c>
      <c r="O8" s="66" t="s">
        <v>141</v>
      </c>
      <c r="P8" s="66">
        <v>68</v>
      </c>
      <c r="Q8" s="66" t="s">
        <v>141</v>
      </c>
      <c r="R8" s="66" t="s">
        <v>141</v>
      </c>
      <c r="S8" s="99" t="s">
        <v>141</v>
      </c>
      <c r="T8" s="36">
        <v>14.4</v>
      </c>
      <c r="U8" s="36">
        <v>117</v>
      </c>
      <c r="V8" s="36">
        <v>1.35</v>
      </c>
      <c r="W8" s="36" t="s">
        <v>141</v>
      </c>
      <c r="X8" s="36" t="s">
        <v>141</v>
      </c>
      <c r="Y8" s="36" t="s">
        <v>141</v>
      </c>
      <c r="Z8" s="36" t="s">
        <v>141</v>
      </c>
      <c r="AA8" s="36" t="s">
        <v>141</v>
      </c>
      <c r="AB8" s="36" t="s">
        <v>141</v>
      </c>
      <c r="AC8" s="36" t="s">
        <v>141</v>
      </c>
      <c r="AD8" s="110">
        <v>1.77E-2</v>
      </c>
      <c r="AE8" s="118">
        <v>0.34</v>
      </c>
      <c r="AF8" s="110">
        <v>0</v>
      </c>
      <c r="AG8" s="123">
        <v>62.77</v>
      </c>
      <c r="AH8" s="123">
        <v>5.03</v>
      </c>
      <c r="AI8" s="124">
        <v>196.84</v>
      </c>
      <c r="AJ8" s="48">
        <v>1.0656000000000001</v>
      </c>
      <c r="AK8" s="49">
        <v>2.1399999999999999E-2</v>
      </c>
    </row>
    <row r="9" spans="1:37" x14ac:dyDescent="0.25">
      <c r="A9" s="79">
        <v>1</v>
      </c>
      <c r="B9" s="77" t="s">
        <v>29</v>
      </c>
      <c r="C9" s="78" t="s">
        <v>158</v>
      </c>
      <c r="D9" s="77" t="s">
        <v>74</v>
      </c>
      <c r="E9" s="75">
        <v>0</v>
      </c>
      <c r="F9" s="18">
        <v>65.42</v>
      </c>
      <c r="G9" s="18">
        <v>59.65</v>
      </c>
      <c r="H9" s="18">
        <v>19.71</v>
      </c>
      <c r="I9" s="114">
        <f t="shared" si="0"/>
        <v>14.45</v>
      </c>
      <c r="J9" s="66">
        <v>738</v>
      </c>
      <c r="K9" s="66" t="s">
        <v>141</v>
      </c>
      <c r="L9" s="66" t="s">
        <v>141</v>
      </c>
      <c r="M9" s="66">
        <v>194</v>
      </c>
      <c r="N9" s="66" t="s">
        <v>141</v>
      </c>
      <c r="O9" s="66" t="s">
        <v>141</v>
      </c>
      <c r="P9" s="66">
        <v>68</v>
      </c>
      <c r="Q9" s="66" t="s">
        <v>141</v>
      </c>
      <c r="R9" s="66" t="s">
        <v>141</v>
      </c>
      <c r="S9" s="99" t="s">
        <v>141</v>
      </c>
      <c r="T9" s="36">
        <v>14.4</v>
      </c>
      <c r="U9" s="36">
        <v>117</v>
      </c>
      <c r="V9" s="36">
        <v>1.35</v>
      </c>
      <c r="W9" s="36" t="s">
        <v>141</v>
      </c>
      <c r="X9" s="36" t="s">
        <v>141</v>
      </c>
      <c r="Y9" s="36" t="s">
        <v>141</v>
      </c>
      <c r="Z9" s="36" t="s">
        <v>141</v>
      </c>
      <c r="AA9" s="36" t="s">
        <v>141</v>
      </c>
      <c r="AB9" s="36" t="s">
        <v>141</v>
      </c>
      <c r="AC9" s="36" t="s">
        <v>141</v>
      </c>
      <c r="AD9" s="110">
        <v>7.4999999999999997E-3</v>
      </c>
      <c r="AE9" s="118">
        <v>0.33</v>
      </c>
      <c r="AF9" s="110">
        <v>3.4500000000000003E-2</v>
      </c>
      <c r="AG9" s="123">
        <v>62.77</v>
      </c>
      <c r="AH9" s="123">
        <v>5.03</v>
      </c>
      <c r="AI9" s="124">
        <v>196.84</v>
      </c>
      <c r="AJ9" s="48">
        <v>1.0656000000000001</v>
      </c>
      <c r="AK9" s="49">
        <v>2.1399999999999999E-2</v>
      </c>
    </row>
    <row r="10" spans="1:37" x14ac:dyDescent="0.25">
      <c r="A10" s="80">
        <v>1</v>
      </c>
      <c r="B10" s="81" t="s">
        <v>29</v>
      </c>
      <c r="C10" s="82" t="s">
        <v>159</v>
      </c>
      <c r="D10" s="82" t="s">
        <v>75</v>
      </c>
      <c r="E10" s="83">
        <v>0</v>
      </c>
      <c r="F10" s="88">
        <v>59.65</v>
      </c>
      <c r="G10" s="88">
        <v>59.65</v>
      </c>
      <c r="H10" s="88">
        <v>19.71</v>
      </c>
      <c r="I10" s="115">
        <f t="shared" si="0"/>
        <v>0</v>
      </c>
      <c r="J10" s="68">
        <v>738</v>
      </c>
      <c r="K10" s="68" t="s">
        <v>141</v>
      </c>
      <c r="L10" s="68" t="s">
        <v>141</v>
      </c>
      <c r="M10" s="68">
        <v>194</v>
      </c>
      <c r="N10" s="68" t="s">
        <v>141</v>
      </c>
      <c r="O10" s="68" t="s">
        <v>141</v>
      </c>
      <c r="P10" s="68">
        <v>68</v>
      </c>
      <c r="Q10" s="68" t="s">
        <v>141</v>
      </c>
      <c r="R10" s="68" t="s">
        <v>141</v>
      </c>
      <c r="S10" s="100" t="s">
        <v>141</v>
      </c>
      <c r="T10" s="40">
        <v>14.4</v>
      </c>
      <c r="U10" s="40">
        <v>117</v>
      </c>
      <c r="V10" s="35">
        <v>1.35</v>
      </c>
      <c r="W10" s="40" t="s">
        <v>141</v>
      </c>
      <c r="X10" s="40" t="s">
        <v>141</v>
      </c>
      <c r="Y10" s="40" t="s">
        <v>141</v>
      </c>
      <c r="Z10" s="40" t="s">
        <v>141</v>
      </c>
      <c r="AA10" s="40" t="s">
        <v>141</v>
      </c>
      <c r="AB10" s="40" t="s">
        <v>141</v>
      </c>
      <c r="AC10" s="40" t="s">
        <v>141</v>
      </c>
      <c r="AD10" s="111">
        <v>0</v>
      </c>
      <c r="AE10" s="119">
        <v>0</v>
      </c>
      <c r="AF10" s="111">
        <v>0</v>
      </c>
      <c r="AG10" s="125">
        <v>62.77</v>
      </c>
      <c r="AH10" s="125">
        <v>5.03</v>
      </c>
      <c r="AI10" s="126">
        <v>196.84</v>
      </c>
      <c r="AJ10" s="50">
        <v>1.0656000000000001</v>
      </c>
      <c r="AK10" s="51">
        <v>2.1399999999999999E-2</v>
      </c>
    </row>
    <row r="11" spans="1:37" x14ac:dyDescent="0.25">
      <c r="A11" s="79">
        <v>2</v>
      </c>
      <c r="B11" s="77" t="s">
        <v>30</v>
      </c>
      <c r="C11" s="77" t="s">
        <v>38</v>
      </c>
      <c r="D11" s="74" t="s">
        <v>76</v>
      </c>
      <c r="E11" s="75">
        <v>0</v>
      </c>
      <c r="F11" s="18">
        <v>82.19</v>
      </c>
      <c r="G11" s="18">
        <v>73.790000000000006</v>
      </c>
      <c r="H11" s="18">
        <v>19.71</v>
      </c>
      <c r="I11" s="114">
        <f t="shared" si="0"/>
        <v>15.53</v>
      </c>
      <c r="J11" s="66" t="s">
        <v>141</v>
      </c>
      <c r="K11" s="66" t="s">
        <v>141</v>
      </c>
      <c r="L11" s="66" t="s">
        <v>141</v>
      </c>
      <c r="M11" s="66" t="s">
        <v>141</v>
      </c>
      <c r="N11" s="66" t="s">
        <v>141</v>
      </c>
      <c r="O11" s="66" t="s">
        <v>141</v>
      </c>
      <c r="P11" s="66" t="s">
        <v>141</v>
      </c>
      <c r="Q11" s="66" t="s">
        <v>141</v>
      </c>
      <c r="R11" s="66" t="s">
        <v>141</v>
      </c>
      <c r="S11" s="66" t="s">
        <v>141</v>
      </c>
      <c r="T11" s="36" t="s">
        <v>141</v>
      </c>
      <c r="U11" s="36" t="s">
        <v>141</v>
      </c>
      <c r="V11" s="36" t="s">
        <v>141</v>
      </c>
      <c r="W11" s="36">
        <v>69.400000000000006</v>
      </c>
      <c r="X11" s="36">
        <v>10.5</v>
      </c>
      <c r="Y11" s="36">
        <v>6.1</v>
      </c>
      <c r="Z11" s="36">
        <v>12.4</v>
      </c>
      <c r="AA11" s="36">
        <v>0</v>
      </c>
      <c r="AB11" s="36">
        <v>0</v>
      </c>
      <c r="AC11" s="36">
        <v>1.6</v>
      </c>
      <c r="AD11" s="110">
        <v>1.5599999999999999E-2</v>
      </c>
      <c r="AE11" s="118">
        <v>0.61</v>
      </c>
      <c r="AF11" s="110">
        <v>1.7399999999999999E-2</v>
      </c>
      <c r="AG11" s="123">
        <v>15.88</v>
      </c>
      <c r="AH11" s="123">
        <v>8.7200000000000006</v>
      </c>
      <c r="AI11" s="124">
        <v>2460.46</v>
      </c>
      <c r="AJ11" s="48">
        <v>1.087</v>
      </c>
      <c r="AK11" s="49">
        <v>4.3E-3</v>
      </c>
    </row>
    <row r="12" spans="1:37" x14ac:dyDescent="0.25">
      <c r="A12" s="79">
        <v>2</v>
      </c>
      <c r="B12" s="77" t="s">
        <v>30</v>
      </c>
      <c r="C12" s="77" t="s">
        <v>38</v>
      </c>
      <c r="D12" s="78" t="s">
        <v>77</v>
      </c>
      <c r="E12" s="75">
        <v>0</v>
      </c>
      <c r="F12" s="18">
        <v>81.180000000000007</v>
      </c>
      <c r="G12" s="18">
        <v>73.790000000000006</v>
      </c>
      <c r="H12" s="18">
        <v>19.71</v>
      </c>
      <c r="I12" s="114">
        <f t="shared" si="0"/>
        <v>13.66</v>
      </c>
      <c r="J12" s="66" t="s">
        <v>141</v>
      </c>
      <c r="K12" s="66" t="s">
        <v>141</v>
      </c>
      <c r="L12" s="66" t="s">
        <v>141</v>
      </c>
      <c r="M12" s="66" t="s">
        <v>141</v>
      </c>
      <c r="N12" s="66" t="s">
        <v>141</v>
      </c>
      <c r="O12" s="66" t="s">
        <v>141</v>
      </c>
      <c r="P12" s="66" t="s">
        <v>141</v>
      </c>
      <c r="Q12" s="66" t="s">
        <v>141</v>
      </c>
      <c r="R12" s="66" t="s">
        <v>141</v>
      </c>
      <c r="S12" s="66" t="s">
        <v>141</v>
      </c>
      <c r="T12" s="36" t="s">
        <v>141</v>
      </c>
      <c r="U12" s="36" t="s">
        <v>141</v>
      </c>
      <c r="V12" s="36" t="s">
        <v>141</v>
      </c>
      <c r="W12" s="36">
        <v>69.400000000000006</v>
      </c>
      <c r="X12" s="36">
        <v>10.5</v>
      </c>
      <c r="Y12" s="36">
        <v>6.1</v>
      </c>
      <c r="Z12" s="36">
        <v>12.4</v>
      </c>
      <c r="AA12" s="36">
        <v>0</v>
      </c>
      <c r="AB12" s="36">
        <v>0</v>
      </c>
      <c r="AC12" s="36">
        <v>1.6</v>
      </c>
      <c r="AD12" s="110">
        <v>1.6999999999999999E-3</v>
      </c>
      <c r="AE12" s="118">
        <v>0.75</v>
      </c>
      <c r="AF12" s="110">
        <v>0</v>
      </c>
      <c r="AG12" s="123">
        <v>15.88</v>
      </c>
      <c r="AH12" s="123">
        <v>8.7200000000000006</v>
      </c>
      <c r="AI12" s="124">
        <v>2460.46</v>
      </c>
      <c r="AJ12" s="48">
        <v>1.087</v>
      </c>
      <c r="AK12" s="49">
        <v>4.3E-3</v>
      </c>
    </row>
    <row r="13" spans="1:37" x14ac:dyDescent="0.25">
      <c r="A13" s="79">
        <v>2</v>
      </c>
      <c r="B13" s="77" t="s">
        <v>30</v>
      </c>
      <c r="C13" s="77" t="s">
        <v>38</v>
      </c>
      <c r="D13" s="78" t="s">
        <v>78</v>
      </c>
      <c r="E13" s="75">
        <v>0</v>
      </c>
      <c r="F13" s="18">
        <v>79.75</v>
      </c>
      <c r="G13" s="18">
        <v>73.790000000000006</v>
      </c>
      <c r="H13" s="18">
        <v>19.71</v>
      </c>
      <c r="I13" s="114">
        <f t="shared" si="0"/>
        <v>11.02</v>
      </c>
      <c r="J13" s="66" t="s">
        <v>141</v>
      </c>
      <c r="K13" s="66" t="s">
        <v>141</v>
      </c>
      <c r="L13" s="66" t="s">
        <v>141</v>
      </c>
      <c r="M13" s="66" t="s">
        <v>141</v>
      </c>
      <c r="N13" s="66" t="s">
        <v>141</v>
      </c>
      <c r="O13" s="66" t="s">
        <v>141</v>
      </c>
      <c r="P13" s="66" t="s">
        <v>141</v>
      </c>
      <c r="Q13" s="66" t="s">
        <v>141</v>
      </c>
      <c r="R13" s="66" t="s">
        <v>141</v>
      </c>
      <c r="S13" s="66" t="s">
        <v>141</v>
      </c>
      <c r="T13" s="36" t="s">
        <v>141</v>
      </c>
      <c r="U13" s="36" t="s">
        <v>141</v>
      </c>
      <c r="V13" s="36" t="s">
        <v>141</v>
      </c>
      <c r="W13" s="36">
        <v>69.400000000000006</v>
      </c>
      <c r="X13" s="36">
        <v>10.5</v>
      </c>
      <c r="Y13" s="36">
        <v>6.1</v>
      </c>
      <c r="Z13" s="36">
        <v>12.4</v>
      </c>
      <c r="AA13" s="36">
        <v>0</v>
      </c>
      <c r="AB13" s="36">
        <v>0</v>
      </c>
      <c r="AC13" s="36">
        <v>1.6</v>
      </c>
      <c r="AD13" s="110">
        <v>1.5E-3</v>
      </c>
      <c r="AE13" s="118">
        <v>0.69</v>
      </c>
      <c r="AF13" s="110">
        <v>0</v>
      </c>
      <c r="AG13" s="123">
        <v>15.88</v>
      </c>
      <c r="AH13" s="123">
        <v>8.7200000000000006</v>
      </c>
      <c r="AI13" s="124">
        <v>2460.46</v>
      </c>
      <c r="AJ13" s="48">
        <v>1.087</v>
      </c>
      <c r="AK13" s="49">
        <v>4.3E-3</v>
      </c>
    </row>
    <row r="14" spans="1:37" x14ac:dyDescent="0.25">
      <c r="A14" s="79">
        <v>2</v>
      </c>
      <c r="B14" s="77" t="s">
        <v>30</v>
      </c>
      <c r="C14" s="77" t="s">
        <v>38</v>
      </c>
      <c r="D14" s="78" t="s">
        <v>79</v>
      </c>
      <c r="E14" s="75">
        <v>0</v>
      </c>
      <c r="F14" s="18">
        <v>78.23</v>
      </c>
      <c r="G14" s="18">
        <v>73.790000000000006</v>
      </c>
      <c r="H14" s="18">
        <v>19.71</v>
      </c>
      <c r="I14" s="114">
        <f t="shared" si="0"/>
        <v>8.2100000000000009</v>
      </c>
      <c r="J14" s="66" t="s">
        <v>141</v>
      </c>
      <c r="K14" s="66" t="s">
        <v>141</v>
      </c>
      <c r="L14" s="66" t="s">
        <v>141</v>
      </c>
      <c r="M14" s="66" t="s">
        <v>141</v>
      </c>
      <c r="N14" s="66" t="s">
        <v>141</v>
      </c>
      <c r="O14" s="66" t="s">
        <v>141</v>
      </c>
      <c r="P14" s="66" t="s">
        <v>141</v>
      </c>
      <c r="Q14" s="66" t="s">
        <v>141</v>
      </c>
      <c r="R14" s="66" t="s">
        <v>141</v>
      </c>
      <c r="S14" s="66" t="s">
        <v>141</v>
      </c>
      <c r="T14" s="36" t="s">
        <v>141</v>
      </c>
      <c r="U14" s="36" t="s">
        <v>141</v>
      </c>
      <c r="V14" s="36" t="s">
        <v>141</v>
      </c>
      <c r="W14" s="36">
        <v>69.400000000000006</v>
      </c>
      <c r="X14" s="36">
        <v>10.5</v>
      </c>
      <c r="Y14" s="36">
        <v>6.1</v>
      </c>
      <c r="Z14" s="36">
        <v>12.4</v>
      </c>
      <c r="AA14" s="36">
        <v>0</v>
      </c>
      <c r="AB14" s="36">
        <v>0</v>
      </c>
      <c r="AC14" s="36">
        <v>1.6</v>
      </c>
      <c r="AD14" s="110">
        <v>2.0999999999999999E-3</v>
      </c>
      <c r="AE14" s="118">
        <v>0.47</v>
      </c>
      <c r="AF14" s="110">
        <v>0.1188</v>
      </c>
      <c r="AG14" s="123">
        <v>15.88</v>
      </c>
      <c r="AH14" s="123">
        <v>8.7200000000000006</v>
      </c>
      <c r="AI14" s="124">
        <v>2460.46</v>
      </c>
      <c r="AJ14" s="48">
        <v>1.087</v>
      </c>
      <c r="AK14" s="49">
        <v>4.3E-3</v>
      </c>
    </row>
    <row r="15" spans="1:37" x14ac:dyDescent="0.25">
      <c r="A15" s="79">
        <v>2</v>
      </c>
      <c r="B15" s="77" t="s">
        <v>30</v>
      </c>
      <c r="C15" s="77" t="s">
        <v>38</v>
      </c>
      <c r="D15" s="78" t="s">
        <v>80</v>
      </c>
      <c r="E15" s="75">
        <v>0</v>
      </c>
      <c r="F15" s="18">
        <v>77.02</v>
      </c>
      <c r="G15" s="18">
        <v>73.790000000000006</v>
      </c>
      <c r="H15" s="18">
        <v>19.71</v>
      </c>
      <c r="I15" s="114">
        <f t="shared" si="0"/>
        <v>5.97</v>
      </c>
      <c r="J15" s="66" t="s">
        <v>141</v>
      </c>
      <c r="K15" s="66" t="s">
        <v>141</v>
      </c>
      <c r="L15" s="66" t="s">
        <v>141</v>
      </c>
      <c r="M15" s="66" t="s">
        <v>141</v>
      </c>
      <c r="N15" s="66" t="s">
        <v>141</v>
      </c>
      <c r="O15" s="66" t="s">
        <v>141</v>
      </c>
      <c r="P15" s="66" t="s">
        <v>141</v>
      </c>
      <c r="Q15" s="66" t="s">
        <v>141</v>
      </c>
      <c r="R15" s="66" t="s">
        <v>141</v>
      </c>
      <c r="S15" s="66" t="s">
        <v>141</v>
      </c>
      <c r="T15" s="36" t="s">
        <v>141</v>
      </c>
      <c r="U15" s="36" t="s">
        <v>141</v>
      </c>
      <c r="V15" s="36" t="s">
        <v>141</v>
      </c>
      <c r="W15" s="36">
        <v>69.400000000000006</v>
      </c>
      <c r="X15" s="36">
        <v>10.5</v>
      </c>
      <c r="Y15" s="36">
        <v>6.1</v>
      </c>
      <c r="Z15" s="36">
        <v>12.4</v>
      </c>
      <c r="AA15" s="36">
        <v>0</v>
      </c>
      <c r="AB15" s="36">
        <v>0</v>
      </c>
      <c r="AC15" s="36">
        <v>1.6</v>
      </c>
      <c r="AD15" s="110">
        <v>3.5000000000000001E-3</v>
      </c>
      <c r="AE15" s="118">
        <v>0.28999999999999998</v>
      </c>
      <c r="AF15" s="110">
        <v>0.21560000000000001</v>
      </c>
      <c r="AG15" s="123">
        <v>15.88</v>
      </c>
      <c r="AH15" s="123">
        <v>8.7200000000000006</v>
      </c>
      <c r="AI15" s="124">
        <v>2460.46</v>
      </c>
      <c r="AJ15" s="48">
        <v>1.087</v>
      </c>
      <c r="AK15" s="49">
        <v>4.3E-3</v>
      </c>
    </row>
    <row r="16" spans="1:37" x14ac:dyDescent="0.25">
      <c r="A16" s="79">
        <v>2</v>
      </c>
      <c r="B16" s="77" t="s">
        <v>30</v>
      </c>
      <c r="C16" s="77" t="s">
        <v>38</v>
      </c>
      <c r="D16" s="78" t="s">
        <v>81</v>
      </c>
      <c r="E16" s="75">
        <v>0</v>
      </c>
      <c r="F16" s="18">
        <v>75.94</v>
      </c>
      <c r="G16" s="18">
        <v>73.790000000000006</v>
      </c>
      <c r="H16" s="18">
        <v>19.71</v>
      </c>
      <c r="I16" s="114">
        <f t="shared" si="0"/>
        <v>3.98</v>
      </c>
      <c r="J16" s="66" t="s">
        <v>141</v>
      </c>
      <c r="K16" s="66" t="s">
        <v>141</v>
      </c>
      <c r="L16" s="66" t="s">
        <v>141</v>
      </c>
      <c r="M16" s="66" t="s">
        <v>141</v>
      </c>
      <c r="N16" s="66" t="s">
        <v>141</v>
      </c>
      <c r="O16" s="66" t="s">
        <v>141</v>
      </c>
      <c r="P16" s="66" t="s">
        <v>141</v>
      </c>
      <c r="Q16" s="66" t="s">
        <v>141</v>
      </c>
      <c r="R16" s="66" t="s">
        <v>141</v>
      </c>
      <c r="S16" s="66" t="s">
        <v>141</v>
      </c>
      <c r="T16" s="36" t="s">
        <v>141</v>
      </c>
      <c r="U16" s="36" t="s">
        <v>141</v>
      </c>
      <c r="V16" s="36" t="s">
        <v>141</v>
      </c>
      <c r="W16" s="36">
        <v>69.400000000000006</v>
      </c>
      <c r="X16" s="36">
        <v>10.5</v>
      </c>
      <c r="Y16" s="36">
        <v>6.1</v>
      </c>
      <c r="Z16" s="36">
        <v>12.4</v>
      </c>
      <c r="AA16" s="36">
        <v>0</v>
      </c>
      <c r="AB16" s="36">
        <v>0</v>
      </c>
      <c r="AC16" s="36">
        <v>1.6</v>
      </c>
      <c r="AD16" s="110">
        <v>5.0000000000000001E-4</v>
      </c>
      <c r="AE16" s="118">
        <v>0.36</v>
      </c>
      <c r="AF16" s="110">
        <v>0</v>
      </c>
      <c r="AG16" s="123">
        <v>15.88</v>
      </c>
      <c r="AH16" s="123">
        <v>8.7200000000000006</v>
      </c>
      <c r="AI16" s="124">
        <v>2460.46</v>
      </c>
      <c r="AJ16" s="48">
        <v>1.087</v>
      </c>
      <c r="AK16" s="49">
        <v>4.3E-3</v>
      </c>
    </row>
    <row r="17" spans="1:37" x14ac:dyDescent="0.25">
      <c r="A17" s="79">
        <v>2</v>
      </c>
      <c r="B17" s="77" t="s">
        <v>30</v>
      </c>
      <c r="C17" s="77" t="s">
        <v>38</v>
      </c>
      <c r="D17" s="78" t="s">
        <v>82</v>
      </c>
      <c r="E17" s="75">
        <v>0</v>
      </c>
      <c r="F17" s="18">
        <v>75.11</v>
      </c>
      <c r="G17" s="18">
        <v>73.790000000000006</v>
      </c>
      <c r="H17" s="18">
        <v>19.71</v>
      </c>
      <c r="I17" s="114">
        <f t="shared" si="0"/>
        <v>2.44</v>
      </c>
      <c r="J17" s="66" t="s">
        <v>141</v>
      </c>
      <c r="K17" s="66" t="s">
        <v>141</v>
      </c>
      <c r="L17" s="66" t="s">
        <v>141</v>
      </c>
      <c r="M17" s="66" t="s">
        <v>141</v>
      </c>
      <c r="N17" s="66" t="s">
        <v>141</v>
      </c>
      <c r="O17" s="66" t="s">
        <v>141</v>
      </c>
      <c r="P17" s="66" t="s">
        <v>141</v>
      </c>
      <c r="Q17" s="66" t="s">
        <v>141</v>
      </c>
      <c r="R17" s="66" t="s">
        <v>141</v>
      </c>
      <c r="S17" s="66" t="s">
        <v>141</v>
      </c>
      <c r="T17" s="36" t="s">
        <v>141</v>
      </c>
      <c r="U17" s="36" t="s">
        <v>141</v>
      </c>
      <c r="V17" s="36" t="s">
        <v>141</v>
      </c>
      <c r="W17" s="36">
        <v>69.400000000000006</v>
      </c>
      <c r="X17" s="36">
        <v>10.5</v>
      </c>
      <c r="Y17" s="36">
        <v>6.1</v>
      </c>
      <c r="Z17" s="36">
        <v>12.4</v>
      </c>
      <c r="AA17" s="36">
        <v>0</v>
      </c>
      <c r="AB17" s="36">
        <v>0</v>
      </c>
      <c r="AC17" s="36">
        <v>1.6</v>
      </c>
      <c r="AD17" s="110">
        <v>4.0000000000000002E-4</v>
      </c>
      <c r="AE17" s="118">
        <v>0.22</v>
      </c>
      <c r="AF17" s="110">
        <v>0</v>
      </c>
      <c r="AG17" s="123">
        <v>15.88</v>
      </c>
      <c r="AH17" s="123">
        <v>8.7200000000000006</v>
      </c>
      <c r="AI17" s="124">
        <v>2460.46</v>
      </c>
      <c r="AJ17" s="48">
        <v>1.087</v>
      </c>
      <c r="AK17" s="49">
        <v>4.3E-3</v>
      </c>
    </row>
    <row r="18" spans="1:37" x14ac:dyDescent="0.25">
      <c r="A18" s="79">
        <v>2</v>
      </c>
      <c r="B18" s="77" t="s">
        <v>30</v>
      </c>
      <c r="C18" s="77" t="s">
        <v>38</v>
      </c>
      <c r="D18" s="78" t="s">
        <v>83</v>
      </c>
      <c r="E18" s="75">
        <v>0</v>
      </c>
      <c r="F18" s="18">
        <v>74.03</v>
      </c>
      <c r="G18" s="18">
        <v>73.790000000000006</v>
      </c>
      <c r="H18" s="18">
        <v>19.71</v>
      </c>
      <c r="I18" s="114">
        <f t="shared" si="0"/>
        <v>0.44</v>
      </c>
      <c r="J18" s="66" t="s">
        <v>141</v>
      </c>
      <c r="K18" s="66" t="s">
        <v>141</v>
      </c>
      <c r="L18" s="66" t="s">
        <v>141</v>
      </c>
      <c r="M18" s="66" t="s">
        <v>141</v>
      </c>
      <c r="N18" s="66" t="s">
        <v>141</v>
      </c>
      <c r="O18" s="66" t="s">
        <v>141</v>
      </c>
      <c r="P18" s="66" t="s">
        <v>141</v>
      </c>
      <c r="Q18" s="66" t="s">
        <v>141</v>
      </c>
      <c r="R18" s="66" t="s">
        <v>141</v>
      </c>
      <c r="S18" s="66" t="s">
        <v>141</v>
      </c>
      <c r="T18" s="36" t="s">
        <v>141</v>
      </c>
      <c r="U18" s="36" t="s">
        <v>141</v>
      </c>
      <c r="V18" s="36" t="s">
        <v>141</v>
      </c>
      <c r="W18" s="36">
        <v>69.400000000000006</v>
      </c>
      <c r="X18" s="36">
        <v>10.5</v>
      </c>
      <c r="Y18" s="36">
        <v>6.1</v>
      </c>
      <c r="Z18" s="36">
        <v>12.4</v>
      </c>
      <c r="AA18" s="36">
        <v>0</v>
      </c>
      <c r="AB18" s="36">
        <v>0</v>
      </c>
      <c r="AC18" s="36">
        <v>1.6</v>
      </c>
      <c r="AD18" s="110">
        <v>4.0000000000000002E-4</v>
      </c>
      <c r="AE18" s="118">
        <v>0.03</v>
      </c>
      <c r="AF18" s="110">
        <v>0</v>
      </c>
      <c r="AG18" s="123">
        <v>15.88</v>
      </c>
      <c r="AH18" s="123">
        <v>8.7200000000000006</v>
      </c>
      <c r="AI18" s="124">
        <v>2460.46</v>
      </c>
      <c r="AJ18" s="48">
        <v>1.087</v>
      </c>
      <c r="AK18" s="49">
        <v>4.3E-3</v>
      </c>
    </row>
    <row r="19" spans="1:37" x14ac:dyDescent="0.25">
      <c r="A19" s="80">
        <v>2</v>
      </c>
      <c r="B19" s="81" t="s">
        <v>30</v>
      </c>
      <c r="C19" s="82" t="s">
        <v>38</v>
      </c>
      <c r="D19" s="82" t="s">
        <v>84</v>
      </c>
      <c r="E19" s="83">
        <v>0</v>
      </c>
      <c r="F19" s="88">
        <v>73.790000000000006</v>
      </c>
      <c r="G19" s="88">
        <v>73.790000000000006</v>
      </c>
      <c r="H19" s="88">
        <v>19.71</v>
      </c>
      <c r="I19" s="115">
        <f t="shared" si="0"/>
        <v>0</v>
      </c>
      <c r="J19" s="68" t="s">
        <v>141</v>
      </c>
      <c r="K19" s="68" t="s">
        <v>141</v>
      </c>
      <c r="L19" s="68" t="s">
        <v>141</v>
      </c>
      <c r="M19" s="68" t="s">
        <v>141</v>
      </c>
      <c r="N19" s="68" t="s">
        <v>141</v>
      </c>
      <c r="O19" s="68" t="s">
        <v>141</v>
      </c>
      <c r="P19" s="68" t="s">
        <v>141</v>
      </c>
      <c r="Q19" s="68" t="s">
        <v>141</v>
      </c>
      <c r="R19" s="68" t="s">
        <v>141</v>
      </c>
      <c r="S19" s="68" t="s">
        <v>141</v>
      </c>
      <c r="T19" s="40" t="s">
        <v>141</v>
      </c>
      <c r="U19" s="40" t="s">
        <v>141</v>
      </c>
      <c r="V19" s="40" t="s">
        <v>141</v>
      </c>
      <c r="W19" s="40">
        <v>69.400000000000006</v>
      </c>
      <c r="X19" s="40">
        <v>10.5</v>
      </c>
      <c r="Y19" s="40">
        <v>6.1</v>
      </c>
      <c r="Z19" s="40">
        <v>12.4</v>
      </c>
      <c r="AA19" s="40">
        <v>0</v>
      </c>
      <c r="AB19" s="40">
        <v>0</v>
      </c>
      <c r="AC19" s="40">
        <v>1.6</v>
      </c>
      <c r="AD19" s="111">
        <v>0</v>
      </c>
      <c r="AE19" s="119">
        <v>0</v>
      </c>
      <c r="AF19" s="111">
        <v>0</v>
      </c>
      <c r="AG19" s="125">
        <v>15.88</v>
      </c>
      <c r="AH19" s="125">
        <v>8.7200000000000006</v>
      </c>
      <c r="AI19" s="126">
        <v>2460.46</v>
      </c>
      <c r="AJ19" s="50">
        <v>1.087</v>
      </c>
      <c r="AK19" s="51">
        <v>4.3E-3</v>
      </c>
    </row>
    <row r="20" spans="1:37" x14ac:dyDescent="0.25">
      <c r="A20" s="79">
        <v>3</v>
      </c>
      <c r="B20" s="77" t="s">
        <v>31</v>
      </c>
      <c r="C20" s="77" t="s">
        <v>39</v>
      </c>
      <c r="D20" s="74" t="s">
        <v>85</v>
      </c>
      <c r="E20" s="75">
        <v>0</v>
      </c>
      <c r="F20" s="18">
        <v>82.53</v>
      </c>
      <c r="G20" s="18">
        <v>69.42</v>
      </c>
      <c r="H20" s="18">
        <v>19.71</v>
      </c>
      <c r="I20" s="114">
        <f t="shared" si="0"/>
        <v>26.37</v>
      </c>
      <c r="J20" s="66" t="s">
        <v>141</v>
      </c>
      <c r="K20" s="66" t="s">
        <v>141</v>
      </c>
      <c r="L20" s="66" t="s">
        <v>141</v>
      </c>
      <c r="M20" s="66" t="s">
        <v>141</v>
      </c>
      <c r="N20" s="66" t="s">
        <v>141</v>
      </c>
      <c r="O20" s="66" t="s">
        <v>141</v>
      </c>
      <c r="P20" s="66" t="s">
        <v>141</v>
      </c>
      <c r="Q20" s="66" t="s">
        <v>141</v>
      </c>
      <c r="R20" s="66" t="s">
        <v>141</v>
      </c>
      <c r="S20" s="99" t="s">
        <v>141</v>
      </c>
      <c r="T20" s="36" t="s">
        <v>141</v>
      </c>
      <c r="U20" s="36" t="s">
        <v>141</v>
      </c>
      <c r="V20" s="36" t="s">
        <v>141</v>
      </c>
      <c r="W20" s="36">
        <v>49.2</v>
      </c>
      <c r="X20" s="36">
        <v>18.399999999999999</v>
      </c>
      <c r="Y20" s="36">
        <v>4.5999999999999996</v>
      </c>
      <c r="Z20" s="36">
        <v>23.3</v>
      </c>
      <c r="AA20" s="36">
        <v>2.2000000000000002</v>
      </c>
      <c r="AB20" s="36">
        <v>1.1000000000000001</v>
      </c>
      <c r="AC20" s="36">
        <v>1.2</v>
      </c>
      <c r="AD20" s="110">
        <v>5.3800000000000001E-2</v>
      </c>
      <c r="AE20" s="118">
        <v>0.54</v>
      </c>
      <c r="AF20" s="110">
        <v>1.1299999999999999E-2</v>
      </c>
      <c r="AG20" s="123">
        <v>24.83</v>
      </c>
      <c r="AH20" s="123">
        <v>7.23</v>
      </c>
      <c r="AI20" s="124">
        <v>321.87</v>
      </c>
      <c r="AJ20" s="48">
        <v>1.0758000000000001</v>
      </c>
      <c r="AK20" s="49">
        <v>2.4400000000000002E-2</v>
      </c>
    </row>
    <row r="21" spans="1:37" x14ac:dyDescent="0.25">
      <c r="A21" s="79">
        <v>3</v>
      </c>
      <c r="B21" s="77" t="s">
        <v>31</v>
      </c>
      <c r="C21" s="77" t="s">
        <v>39</v>
      </c>
      <c r="D21" s="78" t="s">
        <v>86</v>
      </c>
      <c r="E21" s="75">
        <v>0</v>
      </c>
      <c r="F21" s="18">
        <v>79.22</v>
      </c>
      <c r="G21" s="18">
        <v>69.42</v>
      </c>
      <c r="H21" s="18">
        <v>19.71</v>
      </c>
      <c r="I21" s="114">
        <f t="shared" si="0"/>
        <v>19.71</v>
      </c>
      <c r="J21" s="66" t="s">
        <v>141</v>
      </c>
      <c r="K21" s="66" t="s">
        <v>141</v>
      </c>
      <c r="L21" s="66" t="s">
        <v>141</v>
      </c>
      <c r="M21" s="66" t="s">
        <v>141</v>
      </c>
      <c r="N21" s="66" t="s">
        <v>141</v>
      </c>
      <c r="O21" s="66" t="s">
        <v>141</v>
      </c>
      <c r="P21" s="66" t="s">
        <v>141</v>
      </c>
      <c r="Q21" s="66" t="s">
        <v>141</v>
      </c>
      <c r="R21" s="66" t="s">
        <v>141</v>
      </c>
      <c r="S21" s="99" t="s">
        <v>141</v>
      </c>
      <c r="T21" s="36" t="s">
        <v>141</v>
      </c>
      <c r="U21" s="36" t="s">
        <v>141</v>
      </c>
      <c r="V21" s="36" t="s">
        <v>141</v>
      </c>
      <c r="W21" s="36">
        <v>49.2</v>
      </c>
      <c r="X21" s="36">
        <v>18.399999999999999</v>
      </c>
      <c r="Y21" s="36">
        <v>4.5999999999999996</v>
      </c>
      <c r="Z21" s="36">
        <v>23.3</v>
      </c>
      <c r="AA21" s="36">
        <v>2.2000000000000002</v>
      </c>
      <c r="AB21" s="36">
        <v>1.1000000000000001</v>
      </c>
      <c r="AC21" s="36">
        <v>1.2</v>
      </c>
      <c r="AD21" s="110">
        <v>2.81E-2</v>
      </c>
      <c r="AE21" s="118">
        <v>0.45</v>
      </c>
      <c r="AF21" s="110">
        <v>3.1099999999999999E-2</v>
      </c>
      <c r="AG21" s="123">
        <v>24.83</v>
      </c>
      <c r="AH21" s="123">
        <v>7.23</v>
      </c>
      <c r="AI21" s="124">
        <v>321.87</v>
      </c>
      <c r="AJ21" s="48">
        <v>1.0758000000000001</v>
      </c>
      <c r="AK21" s="49">
        <v>2.4400000000000002E-2</v>
      </c>
    </row>
    <row r="22" spans="1:37" x14ac:dyDescent="0.25">
      <c r="A22" s="79">
        <v>3</v>
      </c>
      <c r="B22" s="77" t="s">
        <v>31</v>
      </c>
      <c r="C22" s="77" t="s">
        <v>39</v>
      </c>
      <c r="D22" s="78" t="s">
        <v>87</v>
      </c>
      <c r="E22" s="75">
        <v>0</v>
      </c>
      <c r="F22" s="18">
        <v>77.12</v>
      </c>
      <c r="G22" s="18">
        <v>69.42</v>
      </c>
      <c r="H22" s="18">
        <v>19.71</v>
      </c>
      <c r="I22" s="114">
        <f t="shared" si="0"/>
        <v>15.49</v>
      </c>
      <c r="J22" s="66" t="s">
        <v>141</v>
      </c>
      <c r="K22" s="66" t="s">
        <v>141</v>
      </c>
      <c r="L22" s="66" t="s">
        <v>141</v>
      </c>
      <c r="M22" s="66" t="s">
        <v>141</v>
      </c>
      <c r="N22" s="66" t="s">
        <v>141</v>
      </c>
      <c r="O22" s="66" t="s">
        <v>141</v>
      </c>
      <c r="P22" s="66" t="s">
        <v>141</v>
      </c>
      <c r="Q22" s="66" t="s">
        <v>141</v>
      </c>
      <c r="R22" s="66" t="s">
        <v>141</v>
      </c>
      <c r="S22" s="99" t="s">
        <v>141</v>
      </c>
      <c r="T22" s="36" t="s">
        <v>141</v>
      </c>
      <c r="U22" s="36" t="s">
        <v>141</v>
      </c>
      <c r="V22" s="36" t="s">
        <v>141</v>
      </c>
      <c r="W22" s="36">
        <v>49.2</v>
      </c>
      <c r="X22" s="36">
        <v>18.399999999999999</v>
      </c>
      <c r="Y22" s="36">
        <v>4.5999999999999996</v>
      </c>
      <c r="Z22" s="36">
        <v>23.3</v>
      </c>
      <c r="AA22" s="36">
        <v>2.2000000000000002</v>
      </c>
      <c r="AB22" s="36">
        <v>1.1000000000000001</v>
      </c>
      <c r="AC22" s="36">
        <v>1.2</v>
      </c>
      <c r="AD22" s="110">
        <v>1.72E-2</v>
      </c>
      <c r="AE22" s="118">
        <v>0.42</v>
      </c>
      <c r="AF22" s="110">
        <v>3.0099999999999998E-2</v>
      </c>
      <c r="AG22" s="123">
        <v>24.83</v>
      </c>
      <c r="AH22" s="123">
        <v>7.23</v>
      </c>
      <c r="AI22" s="124">
        <v>321.87</v>
      </c>
      <c r="AJ22" s="48">
        <v>1.0758000000000001</v>
      </c>
      <c r="AK22" s="49">
        <v>2.4400000000000002E-2</v>
      </c>
    </row>
    <row r="23" spans="1:37" x14ac:dyDescent="0.25">
      <c r="A23" s="79">
        <v>3</v>
      </c>
      <c r="B23" s="77" t="s">
        <v>31</v>
      </c>
      <c r="C23" s="77" t="s">
        <v>39</v>
      </c>
      <c r="D23" s="78" t="s">
        <v>88</v>
      </c>
      <c r="E23" s="75">
        <v>0</v>
      </c>
      <c r="F23" s="18">
        <v>74.83</v>
      </c>
      <c r="G23" s="18">
        <v>69.42</v>
      </c>
      <c r="H23" s="18">
        <v>19.71</v>
      </c>
      <c r="I23" s="114">
        <f t="shared" si="0"/>
        <v>10.88</v>
      </c>
      <c r="J23" s="66" t="s">
        <v>141</v>
      </c>
      <c r="K23" s="66" t="s">
        <v>141</v>
      </c>
      <c r="L23" s="66" t="s">
        <v>141</v>
      </c>
      <c r="M23" s="66" t="s">
        <v>141</v>
      </c>
      <c r="N23" s="66" t="s">
        <v>141</v>
      </c>
      <c r="O23" s="66" t="s">
        <v>141</v>
      </c>
      <c r="P23" s="66" t="s">
        <v>141</v>
      </c>
      <c r="Q23" s="66" t="s">
        <v>141</v>
      </c>
      <c r="R23" s="66" t="s">
        <v>141</v>
      </c>
      <c r="S23" s="99" t="s">
        <v>141</v>
      </c>
      <c r="T23" s="36" t="s">
        <v>141</v>
      </c>
      <c r="U23" s="36" t="s">
        <v>141</v>
      </c>
      <c r="V23" s="36" t="s">
        <v>141</v>
      </c>
      <c r="W23" s="36">
        <v>49.2</v>
      </c>
      <c r="X23" s="36">
        <v>18.399999999999999</v>
      </c>
      <c r="Y23" s="36">
        <v>4.5999999999999996</v>
      </c>
      <c r="Z23" s="36">
        <v>23.3</v>
      </c>
      <c r="AA23" s="36">
        <v>2.2000000000000002</v>
      </c>
      <c r="AB23" s="36">
        <v>1.1000000000000001</v>
      </c>
      <c r="AC23" s="36">
        <v>1.2</v>
      </c>
      <c r="AD23" s="110">
        <v>1.21E-2</v>
      </c>
      <c r="AE23" s="118">
        <v>0.4</v>
      </c>
      <c r="AF23" s="110">
        <v>2.81E-2</v>
      </c>
      <c r="AG23" s="123">
        <v>24.83</v>
      </c>
      <c r="AH23" s="123">
        <v>7.23</v>
      </c>
      <c r="AI23" s="124">
        <v>321.87</v>
      </c>
      <c r="AJ23" s="48">
        <v>1.0758000000000001</v>
      </c>
      <c r="AK23" s="49">
        <v>2.4400000000000002E-2</v>
      </c>
    </row>
    <row r="24" spans="1:37" x14ac:dyDescent="0.25">
      <c r="A24" s="79">
        <v>3</v>
      </c>
      <c r="B24" s="77" t="s">
        <v>31</v>
      </c>
      <c r="C24" s="77" t="s">
        <v>39</v>
      </c>
      <c r="D24" s="78" t="s">
        <v>89</v>
      </c>
      <c r="E24" s="75">
        <v>0</v>
      </c>
      <c r="F24" s="18">
        <v>72.73</v>
      </c>
      <c r="G24" s="18">
        <v>69.42</v>
      </c>
      <c r="H24" s="18">
        <v>19.71</v>
      </c>
      <c r="I24" s="114">
        <f t="shared" si="0"/>
        <v>6.66</v>
      </c>
      <c r="J24" s="66" t="s">
        <v>141</v>
      </c>
      <c r="K24" s="66" t="s">
        <v>141</v>
      </c>
      <c r="L24" s="66" t="s">
        <v>141</v>
      </c>
      <c r="M24" s="66" t="s">
        <v>141</v>
      </c>
      <c r="N24" s="66" t="s">
        <v>141</v>
      </c>
      <c r="O24" s="66" t="s">
        <v>141</v>
      </c>
      <c r="P24" s="66" t="s">
        <v>141</v>
      </c>
      <c r="Q24" s="66" t="s">
        <v>141</v>
      </c>
      <c r="R24" s="66" t="s">
        <v>141</v>
      </c>
      <c r="S24" s="99" t="s">
        <v>141</v>
      </c>
      <c r="T24" s="36" t="s">
        <v>141</v>
      </c>
      <c r="U24" s="36" t="s">
        <v>141</v>
      </c>
      <c r="V24" s="36" t="s">
        <v>141</v>
      </c>
      <c r="W24" s="36">
        <v>49.2</v>
      </c>
      <c r="X24" s="36">
        <v>18.399999999999999</v>
      </c>
      <c r="Y24" s="36">
        <v>4.5999999999999996</v>
      </c>
      <c r="Z24" s="36">
        <v>23.3</v>
      </c>
      <c r="AA24" s="36">
        <v>2.2000000000000002</v>
      </c>
      <c r="AB24" s="36">
        <v>1.1000000000000001</v>
      </c>
      <c r="AC24" s="36">
        <v>1.2</v>
      </c>
      <c r="AD24" s="110">
        <v>7.1999999999999998E-3</v>
      </c>
      <c r="AE24" s="118">
        <v>0.35</v>
      </c>
      <c r="AF24" s="110">
        <v>1.47E-2</v>
      </c>
      <c r="AG24" s="123">
        <v>24.83</v>
      </c>
      <c r="AH24" s="123">
        <v>7.23</v>
      </c>
      <c r="AI24" s="124">
        <v>321.87</v>
      </c>
      <c r="AJ24" s="48">
        <v>1.0758000000000001</v>
      </c>
      <c r="AK24" s="49">
        <v>2.4400000000000002E-2</v>
      </c>
    </row>
    <row r="25" spans="1:37" x14ac:dyDescent="0.25">
      <c r="A25" s="79">
        <v>3</v>
      </c>
      <c r="B25" s="77" t="s">
        <v>31</v>
      </c>
      <c r="C25" s="77" t="s">
        <v>39</v>
      </c>
      <c r="D25" s="78" t="s">
        <v>90</v>
      </c>
      <c r="E25" s="75">
        <v>0</v>
      </c>
      <c r="F25" s="18">
        <v>71.27</v>
      </c>
      <c r="G25" s="18">
        <v>69.42</v>
      </c>
      <c r="H25" s="18">
        <v>19.71</v>
      </c>
      <c r="I25" s="114">
        <f t="shared" si="0"/>
        <v>3.72</v>
      </c>
      <c r="J25" s="66" t="s">
        <v>141</v>
      </c>
      <c r="K25" s="66" t="s">
        <v>141</v>
      </c>
      <c r="L25" s="66" t="s">
        <v>141</v>
      </c>
      <c r="M25" s="66" t="s">
        <v>141</v>
      </c>
      <c r="N25" s="66" t="s">
        <v>141</v>
      </c>
      <c r="O25" s="66" t="s">
        <v>141</v>
      </c>
      <c r="P25" s="66" t="s">
        <v>141</v>
      </c>
      <c r="Q25" s="66" t="s">
        <v>141</v>
      </c>
      <c r="R25" s="66" t="s">
        <v>141</v>
      </c>
      <c r="S25" s="99" t="s">
        <v>141</v>
      </c>
      <c r="T25" s="36" t="s">
        <v>141</v>
      </c>
      <c r="U25" s="36" t="s">
        <v>141</v>
      </c>
      <c r="V25" s="36" t="s">
        <v>141</v>
      </c>
      <c r="W25" s="36">
        <v>49.2</v>
      </c>
      <c r="X25" s="36">
        <v>18.399999999999999</v>
      </c>
      <c r="Y25" s="36">
        <v>4.5999999999999996</v>
      </c>
      <c r="Z25" s="36">
        <v>23.3</v>
      </c>
      <c r="AA25" s="36">
        <v>2.2000000000000002</v>
      </c>
      <c r="AB25" s="36">
        <v>1.1000000000000001</v>
      </c>
      <c r="AC25" s="36">
        <v>1.2</v>
      </c>
      <c r="AD25" s="110">
        <v>9.1000000000000004E-3</v>
      </c>
      <c r="AE25" s="118">
        <v>0.03</v>
      </c>
      <c r="AF25" s="110">
        <v>0</v>
      </c>
      <c r="AG25" s="123">
        <v>24.83</v>
      </c>
      <c r="AH25" s="123">
        <v>7.23</v>
      </c>
      <c r="AI25" s="124">
        <v>321.87</v>
      </c>
      <c r="AJ25" s="48">
        <v>1.0758000000000001</v>
      </c>
      <c r="AK25" s="49">
        <v>2.4400000000000002E-2</v>
      </c>
    </row>
    <row r="26" spans="1:37" x14ac:dyDescent="0.25">
      <c r="A26" s="79">
        <v>3</v>
      </c>
      <c r="B26" s="77" t="s">
        <v>31</v>
      </c>
      <c r="C26" s="77" t="s">
        <v>39</v>
      </c>
      <c r="D26" s="78" t="s">
        <v>91</v>
      </c>
      <c r="E26" s="75">
        <v>0</v>
      </c>
      <c r="F26" s="18">
        <v>70.599999999999994</v>
      </c>
      <c r="G26" s="18">
        <v>69.42</v>
      </c>
      <c r="H26" s="18">
        <v>19.71</v>
      </c>
      <c r="I26" s="114">
        <f t="shared" si="0"/>
        <v>2.37</v>
      </c>
      <c r="J26" s="66" t="s">
        <v>141</v>
      </c>
      <c r="K26" s="66" t="s">
        <v>141</v>
      </c>
      <c r="L26" s="66" t="s">
        <v>141</v>
      </c>
      <c r="M26" s="66" t="s">
        <v>141</v>
      </c>
      <c r="N26" s="66" t="s">
        <v>141</v>
      </c>
      <c r="O26" s="66" t="s">
        <v>141</v>
      </c>
      <c r="P26" s="66" t="s">
        <v>141</v>
      </c>
      <c r="Q26" s="66" t="s">
        <v>141</v>
      </c>
      <c r="R26" s="66" t="s">
        <v>141</v>
      </c>
      <c r="S26" s="99" t="s">
        <v>141</v>
      </c>
      <c r="T26" s="36" t="s">
        <v>141</v>
      </c>
      <c r="U26" s="36" t="s">
        <v>141</v>
      </c>
      <c r="V26" s="36" t="s">
        <v>141</v>
      </c>
      <c r="W26" s="36">
        <v>49.2</v>
      </c>
      <c r="X26" s="36">
        <v>18.399999999999999</v>
      </c>
      <c r="Y26" s="36">
        <v>4.5999999999999996</v>
      </c>
      <c r="Z26" s="36">
        <v>23.3</v>
      </c>
      <c r="AA26" s="36">
        <v>2.2000000000000002</v>
      </c>
      <c r="AB26" s="36">
        <v>1.1000000000000001</v>
      </c>
      <c r="AC26" s="36">
        <v>1.2</v>
      </c>
      <c r="AD26" s="110">
        <v>6.6E-3</v>
      </c>
      <c r="AE26" s="118">
        <v>0.03</v>
      </c>
      <c r="AF26" s="110">
        <v>0</v>
      </c>
      <c r="AG26" s="123">
        <v>24.83</v>
      </c>
      <c r="AH26" s="123">
        <v>7.23</v>
      </c>
      <c r="AI26" s="124">
        <v>321.87</v>
      </c>
      <c r="AJ26" s="48">
        <v>1.0758000000000001</v>
      </c>
      <c r="AK26" s="49">
        <v>2.4400000000000002E-2</v>
      </c>
    </row>
    <row r="27" spans="1:37" x14ac:dyDescent="0.25">
      <c r="A27" s="79">
        <v>3</v>
      </c>
      <c r="B27" s="77" t="s">
        <v>31</v>
      </c>
      <c r="C27" s="77" t="s">
        <v>39</v>
      </c>
      <c r="D27" s="78" t="s">
        <v>92</v>
      </c>
      <c r="E27" s="75">
        <v>0</v>
      </c>
      <c r="F27" s="18">
        <v>69.599999999999994</v>
      </c>
      <c r="G27" s="18">
        <v>69.42</v>
      </c>
      <c r="H27" s="18">
        <v>19.71</v>
      </c>
      <c r="I27" s="114">
        <f t="shared" si="0"/>
        <v>0.36</v>
      </c>
      <c r="J27" s="66" t="s">
        <v>141</v>
      </c>
      <c r="K27" s="66" t="s">
        <v>141</v>
      </c>
      <c r="L27" s="66" t="s">
        <v>141</v>
      </c>
      <c r="M27" s="66" t="s">
        <v>141</v>
      </c>
      <c r="N27" s="66" t="s">
        <v>141</v>
      </c>
      <c r="O27" s="66" t="s">
        <v>141</v>
      </c>
      <c r="P27" s="66" t="s">
        <v>141</v>
      </c>
      <c r="Q27" s="66" t="s">
        <v>141</v>
      </c>
      <c r="R27" s="66" t="s">
        <v>141</v>
      </c>
      <c r="S27" s="99" t="s">
        <v>141</v>
      </c>
      <c r="T27" s="36" t="s">
        <v>141</v>
      </c>
      <c r="U27" s="36" t="s">
        <v>141</v>
      </c>
      <c r="V27" s="36" t="s">
        <v>141</v>
      </c>
      <c r="W27" s="36">
        <v>49.2</v>
      </c>
      <c r="X27" s="36">
        <v>18.399999999999999</v>
      </c>
      <c r="Y27" s="36">
        <v>4.5999999999999996</v>
      </c>
      <c r="Z27" s="36">
        <v>23.3</v>
      </c>
      <c r="AA27" s="36">
        <v>2.2000000000000002</v>
      </c>
      <c r="AB27" s="36">
        <v>1.1000000000000001</v>
      </c>
      <c r="AC27" s="36">
        <v>1.2</v>
      </c>
      <c r="AD27" s="110">
        <v>1.26E-2</v>
      </c>
      <c r="AE27" s="118">
        <v>0.01</v>
      </c>
      <c r="AF27" s="110">
        <v>0</v>
      </c>
      <c r="AG27" s="123">
        <v>24.83</v>
      </c>
      <c r="AH27" s="123">
        <v>7.23</v>
      </c>
      <c r="AI27" s="124">
        <v>321.87</v>
      </c>
      <c r="AJ27" s="48">
        <v>1.0758000000000001</v>
      </c>
      <c r="AK27" s="49">
        <v>2.4400000000000002E-2</v>
      </c>
    </row>
    <row r="28" spans="1:37" x14ac:dyDescent="0.25">
      <c r="A28" s="80">
        <v>3</v>
      </c>
      <c r="B28" s="81" t="s">
        <v>31</v>
      </c>
      <c r="C28" s="82" t="s">
        <v>39</v>
      </c>
      <c r="D28" s="82" t="s">
        <v>93</v>
      </c>
      <c r="E28" s="83">
        <v>0</v>
      </c>
      <c r="F28" s="88">
        <v>69.42</v>
      </c>
      <c r="G28" s="88">
        <v>69.42</v>
      </c>
      <c r="H28" s="88">
        <v>19.71</v>
      </c>
      <c r="I28" s="115">
        <f t="shared" si="0"/>
        <v>0</v>
      </c>
      <c r="J28" s="68" t="s">
        <v>141</v>
      </c>
      <c r="K28" s="68" t="s">
        <v>141</v>
      </c>
      <c r="L28" s="68" t="s">
        <v>141</v>
      </c>
      <c r="M28" s="68" t="s">
        <v>141</v>
      </c>
      <c r="N28" s="68" t="s">
        <v>141</v>
      </c>
      <c r="O28" s="68" t="s">
        <v>141</v>
      </c>
      <c r="P28" s="68" t="s">
        <v>141</v>
      </c>
      <c r="Q28" s="68" t="s">
        <v>141</v>
      </c>
      <c r="R28" s="68" t="s">
        <v>141</v>
      </c>
      <c r="S28" s="100" t="s">
        <v>141</v>
      </c>
      <c r="T28" s="40" t="s">
        <v>141</v>
      </c>
      <c r="U28" s="40" t="s">
        <v>141</v>
      </c>
      <c r="V28" s="40" t="s">
        <v>141</v>
      </c>
      <c r="W28" s="40">
        <v>49.2</v>
      </c>
      <c r="X28" s="40">
        <v>18.399999999999999</v>
      </c>
      <c r="Y28" s="40">
        <v>4.5999999999999996</v>
      </c>
      <c r="Z28" s="40">
        <v>23.3</v>
      </c>
      <c r="AA28" s="40">
        <v>2.2000000000000002</v>
      </c>
      <c r="AB28" s="40">
        <v>1.1000000000000001</v>
      </c>
      <c r="AC28" s="40">
        <v>1.2</v>
      </c>
      <c r="AD28" s="111">
        <v>0</v>
      </c>
      <c r="AE28" s="119">
        <v>0</v>
      </c>
      <c r="AF28" s="111">
        <v>0</v>
      </c>
      <c r="AG28" s="125">
        <v>24.83</v>
      </c>
      <c r="AH28" s="125">
        <v>7.23</v>
      </c>
      <c r="AI28" s="126">
        <v>321.87</v>
      </c>
      <c r="AJ28" s="50">
        <v>1.0758000000000001</v>
      </c>
      <c r="AK28" s="51">
        <v>2.4400000000000002E-2</v>
      </c>
    </row>
    <row r="29" spans="1:37" x14ac:dyDescent="0.25">
      <c r="A29" s="79">
        <v>4</v>
      </c>
      <c r="B29" s="77" t="s">
        <v>32</v>
      </c>
      <c r="C29" s="77" t="s">
        <v>40</v>
      </c>
      <c r="D29" s="74" t="s">
        <v>94</v>
      </c>
      <c r="E29" s="75">
        <v>0</v>
      </c>
      <c r="F29" s="18">
        <v>84.41</v>
      </c>
      <c r="G29" s="18">
        <v>71.349999999999994</v>
      </c>
      <c r="H29" s="18">
        <v>19.71</v>
      </c>
      <c r="I29" s="114">
        <f t="shared" si="0"/>
        <v>25.29</v>
      </c>
      <c r="J29" s="66" t="s">
        <v>141</v>
      </c>
      <c r="K29" s="66" t="s">
        <v>141</v>
      </c>
      <c r="L29" s="66" t="s">
        <v>141</v>
      </c>
      <c r="M29" s="66" t="s">
        <v>141</v>
      </c>
      <c r="N29" s="66" t="s">
        <v>141</v>
      </c>
      <c r="O29" s="66" t="s">
        <v>141</v>
      </c>
      <c r="P29" s="66" t="s">
        <v>141</v>
      </c>
      <c r="Q29" s="66" t="s">
        <v>141</v>
      </c>
      <c r="R29" s="66" t="s">
        <v>141</v>
      </c>
      <c r="S29" s="99" t="s">
        <v>141</v>
      </c>
      <c r="T29" s="36" t="s">
        <v>141</v>
      </c>
      <c r="U29" s="36" t="s">
        <v>141</v>
      </c>
      <c r="V29" s="36" t="s">
        <v>141</v>
      </c>
      <c r="W29" s="36">
        <v>63.1</v>
      </c>
      <c r="X29" s="36">
        <v>18.899999999999999</v>
      </c>
      <c r="Y29" s="36">
        <v>10.1</v>
      </c>
      <c r="Z29" s="36">
        <v>6.4</v>
      </c>
      <c r="AA29" s="36">
        <v>0</v>
      </c>
      <c r="AB29" s="36">
        <v>0</v>
      </c>
      <c r="AC29" s="36">
        <v>1.5</v>
      </c>
      <c r="AD29" s="110">
        <v>4.0899999999999999E-2</v>
      </c>
      <c r="AE29" s="118">
        <v>0.54</v>
      </c>
      <c r="AF29" s="110">
        <v>4.65E-2</v>
      </c>
      <c r="AG29" s="123">
        <v>25.18</v>
      </c>
      <c r="AH29" s="123">
        <v>5.32</v>
      </c>
      <c r="AI29" s="124">
        <v>700.22</v>
      </c>
      <c r="AJ29" s="48">
        <v>1.0815999999999999</v>
      </c>
      <c r="AK29" s="49">
        <v>8.8999999999999999E-3</v>
      </c>
    </row>
    <row r="30" spans="1:37" x14ac:dyDescent="0.25">
      <c r="A30" s="79">
        <v>4</v>
      </c>
      <c r="B30" s="77" t="s">
        <v>32</v>
      </c>
      <c r="C30" s="77" t="s">
        <v>40</v>
      </c>
      <c r="D30" s="78" t="s">
        <v>95</v>
      </c>
      <c r="E30" s="75">
        <v>0</v>
      </c>
      <c r="F30" s="18">
        <v>81.02</v>
      </c>
      <c r="G30" s="18">
        <v>71.349999999999994</v>
      </c>
      <c r="H30" s="18">
        <v>19.71</v>
      </c>
      <c r="I30" s="114">
        <f t="shared" si="0"/>
        <v>18.73</v>
      </c>
      <c r="J30" s="66" t="s">
        <v>141</v>
      </c>
      <c r="K30" s="66" t="s">
        <v>141</v>
      </c>
      <c r="L30" s="66" t="s">
        <v>141</v>
      </c>
      <c r="M30" s="66" t="s">
        <v>141</v>
      </c>
      <c r="N30" s="66" t="s">
        <v>141</v>
      </c>
      <c r="O30" s="66" t="s">
        <v>141</v>
      </c>
      <c r="P30" s="66" t="s">
        <v>141</v>
      </c>
      <c r="Q30" s="66" t="s">
        <v>141</v>
      </c>
      <c r="R30" s="66" t="s">
        <v>141</v>
      </c>
      <c r="S30" s="99" t="s">
        <v>141</v>
      </c>
      <c r="T30" s="36" t="s">
        <v>141</v>
      </c>
      <c r="U30" s="36" t="s">
        <v>141</v>
      </c>
      <c r="V30" s="36" t="s">
        <v>141</v>
      </c>
      <c r="W30" s="36">
        <v>63.1</v>
      </c>
      <c r="X30" s="36">
        <v>18.899999999999999</v>
      </c>
      <c r="Y30" s="36">
        <v>10.1</v>
      </c>
      <c r="Z30" s="36">
        <v>6.4</v>
      </c>
      <c r="AA30" s="36">
        <v>0</v>
      </c>
      <c r="AB30" s="36">
        <v>0</v>
      </c>
      <c r="AC30" s="36">
        <v>1.5</v>
      </c>
      <c r="AD30" s="110">
        <v>4.1000000000000003E-3</v>
      </c>
      <c r="AE30" s="118">
        <v>0.91</v>
      </c>
      <c r="AF30" s="110">
        <v>8.9599999999999999E-2</v>
      </c>
      <c r="AG30" s="123">
        <v>25.18</v>
      </c>
      <c r="AH30" s="123">
        <v>5.32</v>
      </c>
      <c r="AI30" s="124">
        <v>700.22</v>
      </c>
      <c r="AJ30" s="48">
        <v>1.0815999999999999</v>
      </c>
      <c r="AK30" s="49">
        <v>8.8999999999999999E-3</v>
      </c>
    </row>
    <row r="31" spans="1:37" x14ac:dyDescent="0.25">
      <c r="A31" s="79">
        <v>4</v>
      </c>
      <c r="B31" s="77" t="s">
        <v>32</v>
      </c>
      <c r="C31" s="77" t="s">
        <v>40</v>
      </c>
      <c r="D31" s="78" t="s">
        <v>96</v>
      </c>
      <c r="E31" s="75">
        <v>0</v>
      </c>
      <c r="F31" s="18">
        <v>79.37</v>
      </c>
      <c r="G31" s="18">
        <v>71.349999999999994</v>
      </c>
      <c r="H31" s="18">
        <v>19.71</v>
      </c>
      <c r="I31" s="114">
        <f t="shared" si="0"/>
        <v>15.53</v>
      </c>
      <c r="J31" s="66" t="s">
        <v>141</v>
      </c>
      <c r="K31" s="66" t="s">
        <v>141</v>
      </c>
      <c r="L31" s="66" t="s">
        <v>141</v>
      </c>
      <c r="M31" s="66" t="s">
        <v>141</v>
      </c>
      <c r="N31" s="66" t="s">
        <v>141</v>
      </c>
      <c r="O31" s="66" t="s">
        <v>141</v>
      </c>
      <c r="P31" s="66" t="s">
        <v>141</v>
      </c>
      <c r="Q31" s="66" t="s">
        <v>141</v>
      </c>
      <c r="R31" s="66" t="s">
        <v>141</v>
      </c>
      <c r="S31" s="99" t="s">
        <v>141</v>
      </c>
      <c r="T31" s="36" t="s">
        <v>141</v>
      </c>
      <c r="U31" s="36" t="s">
        <v>141</v>
      </c>
      <c r="V31" s="36" t="s">
        <v>141</v>
      </c>
      <c r="W31" s="36">
        <v>63.1</v>
      </c>
      <c r="X31" s="36">
        <v>18.899999999999999</v>
      </c>
      <c r="Y31" s="36">
        <v>10.1</v>
      </c>
      <c r="Z31" s="36">
        <v>6.4</v>
      </c>
      <c r="AA31" s="36">
        <v>0</v>
      </c>
      <c r="AB31" s="36">
        <v>0</v>
      </c>
      <c r="AC31" s="36">
        <v>1.5</v>
      </c>
      <c r="AD31" s="110">
        <v>2.3E-3</v>
      </c>
      <c r="AE31" s="118">
        <v>1</v>
      </c>
      <c r="AF31" s="110">
        <v>5.5300000000000002E-2</v>
      </c>
      <c r="AG31" s="123">
        <v>25.18</v>
      </c>
      <c r="AH31" s="123">
        <v>5.32</v>
      </c>
      <c r="AI31" s="124">
        <v>700.22</v>
      </c>
      <c r="AJ31" s="48">
        <v>1.0815999999999999</v>
      </c>
      <c r="AK31" s="49">
        <v>8.8999999999999999E-3</v>
      </c>
    </row>
    <row r="32" spans="1:37" x14ac:dyDescent="0.25">
      <c r="A32" s="79">
        <v>4</v>
      </c>
      <c r="B32" s="77" t="s">
        <v>32</v>
      </c>
      <c r="C32" s="77" t="s">
        <v>40</v>
      </c>
      <c r="D32" s="78" t="s">
        <v>97</v>
      </c>
      <c r="E32" s="75">
        <v>0</v>
      </c>
      <c r="F32" s="18">
        <v>77.459999999999994</v>
      </c>
      <c r="G32" s="18">
        <v>71.349999999999994</v>
      </c>
      <c r="H32" s="18">
        <v>19.71</v>
      </c>
      <c r="I32" s="114">
        <f t="shared" si="0"/>
        <v>11.83</v>
      </c>
      <c r="J32" s="66" t="s">
        <v>141</v>
      </c>
      <c r="K32" s="66" t="s">
        <v>141</v>
      </c>
      <c r="L32" s="66" t="s">
        <v>141</v>
      </c>
      <c r="M32" s="66" t="s">
        <v>141</v>
      </c>
      <c r="N32" s="66" t="s">
        <v>141</v>
      </c>
      <c r="O32" s="66" t="s">
        <v>141</v>
      </c>
      <c r="P32" s="66" t="s">
        <v>141</v>
      </c>
      <c r="Q32" s="66" t="s">
        <v>141</v>
      </c>
      <c r="R32" s="66" t="s">
        <v>141</v>
      </c>
      <c r="S32" s="99" t="s">
        <v>141</v>
      </c>
      <c r="T32" s="36" t="s">
        <v>141</v>
      </c>
      <c r="U32" s="36" t="s">
        <v>141</v>
      </c>
      <c r="V32" s="36" t="s">
        <v>141</v>
      </c>
      <c r="W32" s="36">
        <v>63.1</v>
      </c>
      <c r="X32" s="36">
        <v>18.899999999999999</v>
      </c>
      <c r="Y32" s="36">
        <v>10.1</v>
      </c>
      <c r="Z32" s="36">
        <v>6.4</v>
      </c>
      <c r="AA32" s="36">
        <v>0</v>
      </c>
      <c r="AB32" s="36">
        <v>0</v>
      </c>
      <c r="AC32" s="36">
        <v>1.5</v>
      </c>
      <c r="AD32" s="110">
        <v>1.6000000000000001E-3</v>
      </c>
      <c r="AE32" s="118">
        <v>0.97</v>
      </c>
      <c r="AF32" s="110">
        <v>1.7999999999999999E-2</v>
      </c>
      <c r="AG32" s="123">
        <v>25.18</v>
      </c>
      <c r="AH32" s="123">
        <v>5.32</v>
      </c>
      <c r="AI32" s="124">
        <v>700.22</v>
      </c>
      <c r="AJ32" s="48">
        <v>1.0815999999999999</v>
      </c>
      <c r="AK32" s="49">
        <v>8.8999999999999999E-3</v>
      </c>
    </row>
    <row r="33" spans="1:37" x14ac:dyDescent="0.25">
      <c r="A33" s="79">
        <v>4</v>
      </c>
      <c r="B33" s="77" t="s">
        <v>32</v>
      </c>
      <c r="C33" s="77" t="s">
        <v>40</v>
      </c>
      <c r="D33" s="78" t="s">
        <v>98</v>
      </c>
      <c r="E33" s="75">
        <v>0</v>
      </c>
      <c r="F33" s="18">
        <v>75.77</v>
      </c>
      <c r="G33" s="18">
        <v>71.349999999999994</v>
      </c>
      <c r="H33" s="18">
        <v>19.71</v>
      </c>
      <c r="I33" s="114">
        <f t="shared" si="0"/>
        <v>8.56</v>
      </c>
      <c r="J33" s="66" t="s">
        <v>141</v>
      </c>
      <c r="K33" s="66" t="s">
        <v>141</v>
      </c>
      <c r="L33" s="66" t="s">
        <v>141</v>
      </c>
      <c r="M33" s="66" t="s">
        <v>141</v>
      </c>
      <c r="N33" s="66" t="s">
        <v>141</v>
      </c>
      <c r="O33" s="66" t="s">
        <v>141</v>
      </c>
      <c r="P33" s="66" t="s">
        <v>141</v>
      </c>
      <c r="Q33" s="66" t="s">
        <v>141</v>
      </c>
      <c r="R33" s="66" t="s">
        <v>141</v>
      </c>
      <c r="S33" s="99" t="s">
        <v>141</v>
      </c>
      <c r="T33" s="36" t="s">
        <v>141</v>
      </c>
      <c r="U33" s="36" t="s">
        <v>141</v>
      </c>
      <c r="V33" s="36" t="s">
        <v>141</v>
      </c>
      <c r="W33" s="36">
        <v>63.1</v>
      </c>
      <c r="X33" s="36">
        <v>18.899999999999999</v>
      </c>
      <c r="Y33" s="36">
        <v>10.1</v>
      </c>
      <c r="Z33" s="36">
        <v>6.4</v>
      </c>
      <c r="AA33" s="36">
        <v>0</v>
      </c>
      <c r="AB33" s="36">
        <v>0</v>
      </c>
      <c r="AC33" s="36">
        <v>1.5</v>
      </c>
      <c r="AD33" s="110">
        <v>6.4000000000000003E-3</v>
      </c>
      <c r="AE33" s="118">
        <v>0.41</v>
      </c>
      <c r="AF33" s="110">
        <v>0.12939999999999999</v>
      </c>
      <c r="AG33" s="123">
        <v>25.18</v>
      </c>
      <c r="AH33" s="123">
        <v>5.32</v>
      </c>
      <c r="AI33" s="124">
        <v>700.22</v>
      </c>
      <c r="AJ33" s="48">
        <v>1.0815999999999999</v>
      </c>
      <c r="AK33" s="49">
        <v>8.8999999999999999E-3</v>
      </c>
    </row>
    <row r="34" spans="1:37" x14ac:dyDescent="0.25">
      <c r="A34" s="79">
        <v>4</v>
      </c>
      <c r="B34" s="77" t="s">
        <v>32</v>
      </c>
      <c r="C34" s="77" t="s">
        <v>40</v>
      </c>
      <c r="D34" s="78" t="s">
        <v>99</v>
      </c>
      <c r="E34" s="75">
        <v>0</v>
      </c>
      <c r="F34" s="18">
        <v>74.34</v>
      </c>
      <c r="G34" s="18">
        <v>71.349999999999994</v>
      </c>
      <c r="H34" s="18">
        <v>19.71</v>
      </c>
      <c r="I34" s="114">
        <f t="shared" si="0"/>
        <v>5.79</v>
      </c>
      <c r="J34" s="66" t="s">
        <v>141</v>
      </c>
      <c r="K34" s="66" t="s">
        <v>141</v>
      </c>
      <c r="L34" s="66" t="s">
        <v>141</v>
      </c>
      <c r="M34" s="66" t="s">
        <v>141</v>
      </c>
      <c r="N34" s="66" t="s">
        <v>141</v>
      </c>
      <c r="O34" s="66" t="s">
        <v>141</v>
      </c>
      <c r="P34" s="66" t="s">
        <v>141</v>
      </c>
      <c r="Q34" s="66" t="s">
        <v>141</v>
      </c>
      <c r="R34" s="66" t="s">
        <v>141</v>
      </c>
      <c r="S34" s="99" t="s">
        <v>141</v>
      </c>
      <c r="T34" s="36" t="s">
        <v>141</v>
      </c>
      <c r="U34" s="36" t="s">
        <v>141</v>
      </c>
      <c r="V34" s="36" t="s">
        <v>141</v>
      </c>
      <c r="W34" s="36">
        <v>63.1</v>
      </c>
      <c r="X34" s="36">
        <v>18.899999999999999</v>
      </c>
      <c r="Y34" s="36">
        <v>10.1</v>
      </c>
      <c r="Z34" s="36">
        <v>6.4</v>
      </c>
      <c r="AA34" s="36">
        <v>0</v>
      </c>
      <c r="AB34" s="36">
        <v>0</v>
      </c>
      <c r="AC34" s="36">
        <v>1.5</v>
      </c>
      <c r="AD34" s="110">
        <v>6.1000000000000004E-3</v>
      </c>
      <c r="AE34" s="118">
        <v>0.06</v>
      </c>
      <c r="AF34" s="110">
        <v>0</v>
      </c>
      <c r="AG34" s="123">
        <v>25.18</v>
      </c>
      <c r="AH34" s="123">
        <v>5.32</v>
      </c>
      <c r="AI34" s="124">
        <v>700.22</v>
      </c>
      <c r="AJ34" s="48">
        <v>1.0815999999999999</v>
      </c>
      <c r="AK34" s="49">
        <v>8.8999999999999999E-3</v>
      </c>
    </row>
    <row r="35" spans="1:37" x14ac:dyDescent="0.25">
      <c r="A35" s="79">
        <v>4</v>
      </c>
      <c r="B35" s="77" t="s">
        <v>32</v>
      </c>
      <c r="C35" s="77" t="s">
        <v>40</v>
      </c>
      <c r="D35" s="78" t="s">
        <v>100</v>
      </c>
      <c r="E35" s="75">
        <v>0</v>
      </c>
      <c r="F35" s="18">
        <v>73.59</v>
      </c>
      <c r="G35" s="18">
        <v>71.349999999999994</v>
      </c>
      <c r="H35" s="18">
        <v>19.71</v>
      </c>
      <c r="I35" s="114">
        <f t="shared" si="0"/>
        <v>4.34</v>
      </c>
      <c r="J35" s="66" t="s">
        <v>141</v>
      </c>
      <c r="K35" s="66" t="s">
        <v>141</v>
      </c>
      <c r="L35" s="66" t="s">
        <v>141</v>
      </c>
      <c r="M35" s="66" t="s">
        <v>141</v>
      </c>
      <c r="N35" s="66" t="s">
        <v>141</v>
      </c>
      <c r="O35" s="66" t="s">
        <v>141</v>
      </c>
      <c r="P35" s="66" t="s">
        <v>141</v>
      </c>
      <c r="Q35" s="66" t="s">
        <v>141</v>
      </c>
      <c r="R35" s="66" t="s">
        <v>141</v>
      </c>
      <c r="S35" s="99" t="s">
        <v>141</v>
      </c>
      <c r="T35" s="36" t="s">
        <v>141</v>
      </c>
      <c r="U35" s="36" t="s">
        <v>141</v>
      </c>
      <c r="V35" s="36" t="s">
        <v>141</v>
      </c>
      <c r="W35" s="36">
        <v>63.1</v>
      </c>
      <c r="X35" s="36">
        <v>18.899999999999999</v>
      </c>
      <c r="Y35" s="36">
        <v>10.1</v>
      </c>
      <c r="Z35" s="36">
        <v>6.4</v>
      </c>
      <c r="AA35" s="36">
        <v>0</v>
      </c>
      <c r="AB35" s="36">
        <v>0</v>
      </c>
      <c r="AC35" s="36">
        <v>1.5</v>
      </c>
      <c r="AD35" s="110">
        <v>4.1000000000000003E-3</v>
      </c>
      <c r="AE35" s="118">
        <v>0.05</v>
      </c>
      <c r="AF35" s="110">
        <v>6.3500000000000001E-2</v>
      </c>
      <c r="AG35" s="123">
        <v>25.18</v>
      </c>
      <c r="AH35" s="123">
        <v>5.32</v>
      </c>
      <c r="AI35" s="124">
        <v>700.22</v>
      </c>
      <c r="AJ35" s="48">
        <v>1.0815999999999999</v>
      </c>
      <c r="AK35" s="49">
        <v>8.8999999999999999E-3</v>
      </c>
    </row>
    <row r="36" spans="1:37" x14ac:dyDescent="0.25">
      <c r="A36" s="79">
        <v>4</v>
      </c>
      <c r="B36" s="77" t="s">
        <v>32</v>
      </c>
      <c r="C36" s="77" t="s">
        <v>40</v>
      </c>
      <c r="D36" s="78" t="s">
        <v>101</v>
      </c>
      <c r="E36" s="75">
        <v>0</v>
      </c>
      <c r="F36" s="18">
        <v>72.08</v>
      </c>
      <c r="G36" s="18">
        <v>71.349999999999994</v>
      </c>
      <c r="H36" s="18">
        <v>19.71</v>
      </c>
      <c r="I36" s="114">
        <f t="shared" si="0"/>
        <v>1.41</v>
      </c>
      <c r="J36" s="66" t="s">
        <v>141</v>
      </c>
      <c r="K36" s="66" t="s">
        <v>141</v>
      </c>
      <c r="L36" s="66" t="s">
        <v>141</v>
      </c>
      <c r="M36" s="66" t="s">
        <v>141</v>
      </c>
      <c r="N36" s="66" t="s">
        <v>141</v>
      </c>
      <c r="O36" s="66" t="s">
        <v>141</v>
      </c>
      <c r="P36" s="66" t="s">
        <v>141</v>
      </c>
      <c r="Q36" s="66" t="s">
        <v>141</v>
      </c>
      <c r="R36" s="66" t="s">
        <v>141</v>
      </c>
      <c r="S36" s="99" t="s">
        <v>141</v>
      </c>
      <c r="T36" s="36" t="s">
        <v>141</v>
      </c>
      <c r="U36" s="36" t="s">
        <v>141</v>
      </c>
      <c r="V36" s="36" t="s">
        <v>141</v>
      </c>
      <c r="W36" s="36">
        <v>63.1</v>
      </c>
      <c r="X36" s="36">
        <v>18.899999999999999</v>
      </c>
      <c r="Y36" s="36">
        <v>10.1</v>
      </c>
      <c r="Z36" s="36">
        <v>6.4</v>
      </c>
      <c r="AA36" s="36">
        <v>0</v>
      </c>
      <c r="AB36" s="36">
        <v>0</v>
      </c>
      <c r="AC36" s="36">
        <v>1.5</v>
      </c>
      <c r="AD36" s="110">
        <v>8.8999999999999999E-3</v>
      </c>
      <c r="AE36" s="118">
        <v>0.02</v>
      </c>
      <c r="AF36" s="110">
        <v>0</v>
      </c>
      <c r="AG36" s="123">
        <v>25.18</v>
      </c>
      <c r="AH36" s="123">
        <v>5.32</v>
      </c>
      <c r="AI36" s="124">
        <v>700.22</v>
      </c>
      <c r="AJ36" s="48">
        <v>1.0815999999999999</v>
      </c>
      <c r="AK36" s="49">
        <v>8.8999999999999999E-3</v>
      </c>
    </row>
    <row r="37" spans="1:37" x14ac:dyDescent="0.25">
      <c r="A37" s="80">
        <v>4</v>
      </c>
      <c r="B37" s="81" t="s">
        <v>32</v>
      </c>
      <c r="C37" s="82" t="s">
        <v>40</v>
      </c>
      <c r="D37" s="82" t="s">
        <v>102</v>
      </c>
      <c r="E37" s="83">
        <v>0</v>
      </c>
      <c r="F37" s="88">
        <v>71.349999999999994</v>
      </c>
      <c r="G37" s="88">
        <v>71.349999999999994</v>
      </c>
      <c r="H37" s="88">
        <v>19.71</v>
      </c>
      <c r="I37" s="115">
        <f t="shared" si="0"/>
        <v>0</v>
      </c>
      <c r="J37" s="68" t="s">
        <v>141</v>
      </c>
      <c r="K37" s="68" t="s">
        <v>141</v>
      </c>
      <c r="L37" s="68" t="s">
        <v>141</v>
      </c>
      <c r="M37" s="68" t="s">
        <v>141</v>
      </c>
      <c r="N37" s="68" t="s">
        <v>141</v>
      </c>
      <c r="O37" s="68" t="s">
        <v>141</v>
      </c>
      <c r="P37" s="68" t="s">
        <v>141</v>
      </c>
      <c r="Q37" s="68" t="s">
        <v>141</v>
      </c>
      <c r="R37" s="68" t="s">
        <v>141</v>
      </c>
      <c r="S37" s="100" t="s">
        <v>141</v>
      </c>
      <c r="T37" s="40" t="s">
        <v>141</v>
      </c>
      <c r="U37" s="40" t="s">
        <v>141</v>
      </c>
      <c r="V37" s="40" t="s">
        <v>141</v>
      </c>
      <c r="W37" s="40">
        <v>63.1</v>
      </c>
      <c r="X37" s="40">
        <v>18.899999999999999</v>
      </c>
      <c r="Y37" s="40">
        <v>10.1</v>
      </c>
      <c r="Z37" s="40">
        <v>6.4</v>
      </c>
      <c r="AA37" s="40">
        <v>0</v>
      </c>
      <c r="AB37" s="40">
        <v>0</v>
      </c>
      <c r="AC37" s="40">
        <v>1.5</v>
      </c>
      <c r="AD37" s="111">
        <v>0</v>
      </c>
      <c r="AE37" s="119">
        <v>0</v>
      </c>
      <c r="AF37" s="111">
        <v>0</v>
      </c>
      <c r="AG37" s="125">
        <v>25.18</v>
      </c>
      <c r="AH37" s="125">
        <v>5.32</v>
      </c>
      <c r="AI37" s="126">
        <v>700.22</v>
      </c>
      <c r="AJ37" s="50">
        <v>1.0815999999999999</v>
      </c>
      <c r="AK37" s="51">
        <v>8.8999999999999999E-3</v>
      </c>
    </row>
    <row r="38" spans="1:37" x14ac:dyDescent="0.25">
      <c r="A38" s="79">
        <v>5</v>
      </c>
      <c r="B38" s="77" t="s">
        <v>33</v>
      </c>
      <c r="C38" s="77" t="s">
        <v>41</v>
      </c>
      <c r="D38" s="74" t="s">
        <v>103</v>
      </c>
      <c r="E38" s="75">
        <v>0</v>
      </c>
      <c r="F38" s="18">
        <v>81.069999999999993</v>
      </c>
      <c r="G38" s="18">
        <v>63.44</v>
      </c>
      <c r="H38" s="18">
        <v>19.71</v>
      </c>
      <c r="I38" s="114">
        <f t="shared" si="0"/>
        <v>40.32</v>
      </c>
      <c r="J38" s="66">
        <v>135</v>
      </c>
      <c r="K38" s="66">
        <v>441</v>
      </c>
      <c r="L38" s="66">
        <v>49</v>
      </c>
      <c r="M38" s="66">
        <v>490</v>
      </c>
      <c r="N38" s="66">
        <v>63</v>
      </c>
      <c r="O38" s="66">
        <v>312</v>
      </c>
      <c r="P38" s="66">
        <v>375</v>
      </c>
      <c r="Q38" s="66">
        <v>964</v>
      </c>
      <c r="R38" s="66">
        <v>0</v>
      </c>
      <c r="S38" s="99">
        <v>36.1</v>
      </c>
      <c r="T38" s="36" t="s">
        <v>141</v>
      </c>
      <c r="U38" s="36" t="s">
        <v>141</v>
      </c>
      <c r="V38" s="36" t="s">
        <v>141</v>
      </c>
      <c r="W38" s="36" t="s">
        <v>141</v>
      </c>
      <c r="X38" s="36" t="s">
        <v>141</v>
      </c>
      <c r="Y38" s="36" t="s">
        <v>141</v>
      </c>
      <c r="Z38" s="36" t="s">
        <v>141</v>
      </c>
      <c r="AA38" s="36" t="s">
        <v>141</v>
      </c>
      <c r="AB38" s="36" t="s">
        <v>141</v>
      </c>
      <c r="AC38" s="36" t="s">
        <v>141</v>
      </c>
      <c r="AD38" s="110">
        <v>4.02E-2</v>
      </c>
      <c r="AE38" s="118">
        <v>0.57999999999999996</v>
      </c>
      <c r="AF38" s="110">
        <v>4.3E-3</v>
      </c>
      <c r="AG38" s="123">
        <v>41.96</v>
      </c>
      <c r="AH38" s="123">
        <v>8.0299999999999994</v>
      </c>
      <c r="AI38" s="124">
        <v>225.28</v>
      </c>
      <c r="AJ38" s="48">
        <v>0.95379999999999998</v>
      </c>
      <c r="AK38" s="49">
        <v>7.5700000000000003E-2</v>
      </c>
    </row>
    <row r="39" spans="1:37" x14ac:dyDescent="0.25">
      <c r="A39" s="79">
        <v>5</v>
      </c>
      <c r="B39" s="77" t="s">
        <v>33</v>
      </c>
      <c r="C39" s="77" t="s">
        <v>41</v>
      </c>
      <c r="D39" s="78" t="s">
        <v>104</v>
      </c>
      <c r="E39" s="75">
        <v>0</v>
      </c>
      <c r="F39" s="18">
        <v>78.349999999999994</v>
      </c>
      <c r="G39" s="18">
        <v>63.44</v>
      </c>
      <c r="H39" s="18">
        <v>19.71</v>
      </c>
      <c r="I39" s="114">
        <f t="shared" si="0"/>
        <v>34.1</v>
      </c>
      <c r="J39" s="66">
        <v>135</v>
      </c>
      <c r="K39" s="66">
        <v>441</v>
      </c>
      <c r="L39" s="66">
        <v>49</v>
      </c>
      <c r="M39" s="66">
        <v>490</v>
      </c>
      <c r="N39" s="66">
        <v>63</v>
      </c>
      <c r="O39" s="66">
        <v>312</v>
      </c>
      <c r="P39" s="66">
        <v>375</v>
      </c>
      <c r="Q39" s="66">
        <v>964</v>
      </c>
      <c r="R39" s="66">
        <v>0</v>
      </c>
      <c r="S39" s="99">
        <v>36.1</v>
      </c>
      <c r="T39" s="36" t="s">
        <v>141</v>
      </c>
      <c r="U39" s="36" t="s">
        <v>141</v>
      </c>
      <c r="V39" s="36" t="s">
        <v>141</v>
      </c>
      <c r="W39" s="36" t="s">
        <v>141</v>
      </c>
      <c r="X39" s="36" t="s">
        <v>141</v>
      </c>
      <c r="Y39" s="36" t="s">
        <v>141</v>
      </c>
      <c r="Z39" s="36" t="s">
        <v>141</v>
      </c>
      <c r="AA39" s="36" t="s">
        <v>141</v>
      </c>
      <c r="AB39" s="36" t="s">
        <v>141</v>
      </c>
      <c r="AC39" s="36" t="s">
        <v>141</v>
      </c>
      <c r="AD39" s="110">
        <v>3.0800000000000001E-2</v>
      </c>
      <c r="AE39" s="118">
        <v>0.5</v>
      </c>
      <c r="AF39" s="110">
        <v>1.0699999999999999E-2</v>
      </c>
      <c r="AG39" s="123">
        <v>41.96</v>
      </c>
      <c r="AH39" s="123">
        <v>8.0299999999999994</v>
      </c>
      <c r="AI39" s="124">
        <v>225.28</v>
      </c>
      <c r="AJ39" s="48">
        <v>0.95379999999999998</v>
      </c>
      <c r="AK39" s="49">
        <v>7.5700000000000003E-2</v>
      </c>
    </row>
    <row r="40" spans="1:37" x14ac:dyDescent="0.25">
      <c r="A40" s="79">
        <v>5</v>
      </c>
      <c r="B40" s="77" t="s">
        <v>33</v>
      </c>
      <c r="C40" s="77" t="s">
        <v>41</v>
      </c>
      <c r="D40" s="78" t="s">
        <v>105</v>
      </c>
      <c r="E40" s="75">
        <v>0</v>
      </c>
      <c r="F40" s="18">
        <v>76.959999999999994</v>
      </c>
      <c r="G40" s="18">
        <v>63.44</v>
      </c>
      <c r="H40" s="18">
        <v>19.71</v>
      </c>
      <c r="I40" s="114">
        <f t="shared" si="0"/>
        <v>30.92</v>
      </c>
      <c r="J40" s="66">
        <v>135</v>
      </c>
      <c r="K40" s="66">
        <v>441</v>
      </c>
      <c r="L40" s="66">
        <v>49</v>
      </c>
      <c r="M40" s="66">
        <v>490</v>
      </c>
      <c r="N40" s="66">
        <v>63</v>
      </c>
      <c r="O40" s="66">
        <v>312</v>
      </c>
      <c r="P40" s="66">
        <v>375</v>
      </c>
      <c r="Q40" s="66">
        <v>964</v>
      </c>
      <c r="R40" s="66">
        <v>0</v>
      </c>
      <c r="S40" s="99">
        <v>36.1</v>
      </c>
      <c r="T40" s="36" t="s">
        <v>141</v>
      </c>
      <c r="U40" s="36" t="s">
        <v>141</v>
      </c>
      <c r="V40" s="36" t="s">
        <v>141</v>
      </c>
      <c r="W40" s="36" t="s">
        <v>141</v>
      </c>
      <c r="X40" s="36" t="s">
        <v>141</v>
      </c>
      <c r="Y40" s="36" t="s">
        <v>141</v>
      </c>
      <c r="Z40" s="36" t="s">
        <v>141</v>
      </c>
      <c r="AA40" s="36" t="s">
        <v>141</v>
      </c>
      <c r="AB40" s="36" t="s">
        <v>141</v>
      </c>
      <c r="AC40" s="36" t="s">
        <v>141</v>
      </c>
      <c r="AD40" s="110">
        <v>2.81E-2</v>
      </c>
      <c r="AE40" s="118">
        <v>0.49</v>
      </c>
      <c r="AF40" s="110">
        <v>1.06E-2</v>
      </c>
      <c r="AG40" s="123">
        <v>41.96</v>
      </c>
      <c r="AH40" s="123">
        <v>8.0299999999999994</v>
      </c>
      <c r="AI40" s="124">
        <v>225.28</v>
      </c>
      <c r="AJ40" s="48">
        <v>0.95379999999999998</v>
      </c>
      <c r="AK40" s="49">
        <v>7.5700000000000003E-2</v>
      </c>
    </row>
    <row r="41" spans="1:37" x14ac:dyDescent="0.25">
      <c r="A41" s="79">
        <v>5</v>
      </c>
      <c r="B41" s="77" t="s">
        <v>33</v>
      </c>
      <c r="C41" s="77" t="s">
        <v>41</v>
      </c>
      <c r="D41" s="78" t="s">
        <v>106</v>
      </c>
      <c r="E41" s="75">
        <v>0</v>
      </c>
      <c r="F41" s="18">
        <v>75.180000000000007</v>
      </c>
      <c r="G41" s="18">
        <v>63.44</v>
      </c>
      <c r="H41" s="18">
        <v>19.71</v>
      </c>
      <c r="I41" s="114">
        <f t="shared" si="0"/>
        <v>26.85</v>
      </c>
      <c r="J41" s="66">
        <v>135</v>
      </c>
      <c r="K41" s="66">
        <v>441</v>
      </c>
      <c r="L41" s="66">
        <v>49</v>
      </c>
      <c r="M41" s="66">
        <v>490</v>
      </c>
      <c r="N41" s="66">
        <v>63</v>
      </c>
      <c r="O41" s="66">
        <v>312</v>
      </c>
      <c r="P41" s="66">
        <v>375</v>
      </c>
      <c r="Q41" s="66">
        <v>964</v>
      </c>
      <c r="R41" s="66">
        <v>0</v>
      </c>
      <c r="S41" s="99">
        <v>36.1</v>
      </c>
      <c r="T41" s="36" t="s">
        <v>141</v>
      </c>
      <c r="U41" s="36" t="s">
        <v>141</v>
      </c>
      <c r="V41" s="36" t="s">
        <v>141</v>
      </c>
      <c r="W41" s="36" t="s">
        <v>141</v>
      </c>
      <c r="X41" s="36" t="s">
        <v>141</v>
      </c>
      <c r="Y41" s="36" t="s">
        <v>141</v>
      </c>
      <c r="Z41" s="36" t="s">
        <v>141</v>
      </c>
      <c r="AA41" s="36" t="s">
        <v>141</v>
      </c>
      <c r="AB41" s="36" t="s">
        <v>141</v>
      </c>
      <c r="AC41" s="36" t="s">
        <v>141</v>
      </c>
      <c r="AD41" s="110">
        <v>2.53E-2</v>
      </c>
      <c r="AE41" s="118">
        <v>0.48</v>
      </c>
      <c r="AF41" s="110">
        <v>1.2800000000000001E-2</v>
      </c>
      <c r="AG41" s="123">
        <v>41.96</v>
      </c>
      <c r="AH41" s="123">
        <v>8.0299999999999994</v>
      </c>
      <c r="AI41" s="124">
        <v>225.28</v>
      </c>
      <c r="AJ41" s="48">
        <v>0.95379999999999998</v>
      </c>
      <c r="AK41" s="49">
        <v>7.5700000000000003E-2</v>
      </c>
    </row>
    <row r="42" spans="1:37" x14ac:dyDescent="0.25">
      <c r="A42" s="79">
        <v>5</v>
      </c>
      <c r="B42" s="77" t="s">
        <v>33</v>
      </c>
      <c r="C42" s="77" t="s">
        <v>41</v>
      </c>
      <c r="D42" s="78" t="s">
        <v>107</v>
      </c>
      <c r="E42" s="75">
        <v>0</v>
      </c>
      <c r="F42" s="18">
        <v>73.7</v>
      </c>
      <c r="G42" s="18">
        <v>63.44</v>
      </c>
      <c r="H42" s="18">
        <v>19.71</v>
      </c>
      <c r="I42" s="114">
        <f t="shared" si="0"/>
        <v>23.46</v>
      </c>
      <c r="J42" s="66">
        <v>135</v>
      </c>
      <c r="K42" s="66">
        <v>441</v>
      </c>
      <c r="L42" s="66">
        <v>49</v>
      </c>
      <c r="M42" s="66">
        <v>490</v>
      </c>
      <c r="N42" s="66">
        <v>63</v>
      </c>
      <c r="O42" s="66">
        <v>312</v>
      </c>
      <c r="P42" s="66">
        <v>375</v>
      </c>
      <c r="Q42" s="66">
        <v>964</v>
      </c>
      <c r="R42" s="66">
        <v>0</v>
      </c>
      <c r="S42" s="99">
        <v>36.1</v>
      </c>
      <c r="T42" s="36" t="s">
        <v>141</v>
      </c>
      <c r="U42" s="36" t="s">
        <v>141</v>
      </c>
      <c r="V42" s="36" t="s">
        <v>141</v>
      </c>
      <c r="W42" s="36" t="s">
        <v>141</v>
      </c>
      <c r="X42" s="36" t="s">
        <v>141</v>
      </c>
      <c r="Y42" s="36" t="s">
        <v>141</v>
      </c>
      <c r="Z42" s="36" t="s">
        <v>141</v>
      </c>
      <c r="AA42" s="36" t="s">
        <v>141</v>
      </c>
      <c r="AB42" s="36" t="s">
        <v>141</v>
      </c>
      <c r="AC42" s="36" t="s">
        <v>141</v>
      </c>
      <c r="AD42" s="110">
        <v>2.1399999999999999E-2</v>
      </c>
      <c r="AE42" s="118">
        <v>0.48</v>
      </c>
      <c r="AF42" s="110">
        <v>1.2E-2</v>
      </c>
      <c r="AG42" s="123">
        <v>41.96</v>
      </c>
      <c r="AH42" s="123">
        <v>8.0299999999999994</v>
      </c>
      <c r="AI42" s="124">
        <v>225.28</v>
      </c>
      <c r="AJ42" s="48">
        <v>0.95379999999999998</v>
      </c>
      <c r="AK42" s="49">
        <v>7.5700000000000003E-2</v>
      </c>
    </row>
    <row r="43" spans="1:37" x14ac:dyDescent="0.25">
      <c r="A43" s="79">
        <v>5</v>
      </c>
      <c r="B43" s="77" t="s">
        <v>33</v>
      </c>
      <c r="C43" s="77" t="s">
        <v>41</v>
      </c>
      <c r="D43" s="78" t="s">
        <v>108</v>
      </c>
      <c r="E43" s="75">
        <v>0</v>
      </c>
      <c r="F43" s="18">
        <v>72.11</v>
      </c>
      <c r="G43" s="18">
        <v>63.44</v>
      </c>
      <c r="H43" s="18">
        <v>19.71</v>
      </c>
      <c r="I43" s="114">
        <f t="shared" si="0"/>
        <v>19.829999999999998</v>
      </c>
      <c r="J43" s="66">
        <v>135</v>
      </c>
      <c r="K43" s="66">
        <v>441</v>
      </c>
      <c r="L43" s="66">
        <v>49</v>
      </c>
      <c r="M43" s="66">
        <v>490</v>
      </c>
      <c r="N43" s="66">
        <v>63</v>
      </c>
      <c r="O43" s="66">
        <v>312</v>
      </c>
      <c r="P43" s="66">
        <v>375</v>
      </c>
      <c r="Q43" s="66">
        <v>964</v>
      </c>
      <c r="R43" s="66">
        <v>0</v>
      </c>
      <c r="S43" s="99">
        <v>36.1</v>
      </c>
      <c r="T43" s="36" t="s">
        <v>141</v>
      </c>
      <c r="U43" s="36" t="s">
        <v>141</v>
      </c>
      <c r="V43" s="36" t="s">
        <v>141</v>
      </c>
      <c r="W43" s="36" t="s">
        <v>141</v>
      </c>
      <c r="X43" s="36" t="s">
        <v>141</v>
      </c>
      <c r="Y43" s="36" t="s">
        <v>141</v>
      </c>
      <c r="Z43" s="36" t="s">
        <v>141</v>
      </c>
      <c r="AA43" s="36" t="s">
        <v>141</v>
      </c>
      <c r="AB43" s="36" t="s">
        <v>141</v>
      </c>
      <c r="AC43" s="36" t="s">
        <v>141</v>
      </c>
      <c r="AD43" s="110">
        <v>1.84E-2</v>
      </c>
      <c r="AE43" s="118">
        <v>0.47</v>
      </c>
      <c r="AF43" s="110">
        <v>1.52E-2</v>
      </c>
      <c r="AG43" s="123">
        <v>41.96</v>
      </c>
      <c r="AH43" s="123">
        <v>8.0299999999999994</v>
      </c>
      <c r="AI43" s="124">
        <v>225.28</v>
      </c>
      <c r="AJ43" s="48">
        <v>0.95379999999999998</v>
      </c>
      <c r="AK43" s="49">
        <v>7.5700000000000003E-2</v>
      </c>
    </row>
    <row r="44" spans="1:37" x14ac:dyDescent="0.25">
      <c r="A44" s="79">
        <v>5</v>
      </c>
      <c r="B44" s="77" t="s">
        <v>33</v>
      </c>
      <c r="C44" s="77" t="s">
        <v>41</v>
      </c>
      <c r="D44" s="78" t="s">
        <v>109</v>
      </c>
      <c r="E44" s="75">
        <v>0</v>
      </c>
      <c r="F44" s="18">
        <v>70.56</v>
      </c>
      <c r="G44" s="18">
        <v>63.44</v>
      </c>
      <c r="H44" s="18">
        <v>19.71</v>
      </c>
      <c r="I44" s="114">
        <f t="shared" si="0"/>
        <v>16.28</v>
      </c>
      <c r="J44" s="66">
        <v>135</v>
      </c>
      <c r="K44" s="66">
        <v>441</v>
      </c>
      <c r="L44" s="66">
        <v>49</v>
      </c>
      <c r="M44" s="66">
        <v>490</v>
      </c>
      <c r="N44" s="66">
        <v>63</v>
      </c>
      <c r="O44" s="66">
        <v>312</v>
      </c>
      <c r="P44" s="66">
        <v>375</v>
      </c>
      <c r="Q44" s="66">
        <v>964</v>
      </c>
      <c r="R44" s="66">
        <v>0</v>
      </c>
      <c r="S44" s="99">
        <v>36.1</v>
      </c>
      <c r="T44" s="36" t="s">
        <v>141</v>
      </c>
      <c r="U44" s="36" t="s">
        <v>141</v>
      </c>
      <c r="V44" s="36" t="s">
        <v>141</v>
      </c>
      <c r="W44" s="36" t="s">
        <v>141</v>
      </c>
      <c r="X44" s="36" t="s">
        <v>141</v>
      </c>
      <c r="Y44" s="36" t="s">
        <v>141</v>
      </c>
      <c r="Z44" s="36" t="s">
        <v>141</v>
      </c>
      <c r="AA44" s="36" t="s">
        <v>141</v>
      </c>
      <c r="AB44" s="36" t="s">
        <v>141</v>
      </c>
      <c r="AC44" s="36" t="s">
        <v>141</v>
      </c>
      <c r="AD44" s="110">
        <v>1.54E-2</v>
      </c>
      <c r="AE44" s="118">
        <v>0.44</v>
      </c>
      <c r="AF44" s="110">
        <v>1.83E-2</v>
      </c>
      <c r="AG44" s="123">
        <v>41.96</v>
      </c>
      <c r="AH44" s="123">
        <v>8.0299999999999994</v>
      </c>
      <c r="AI44" s="124">
        <v>225.28</v>
      </c>
      <c r="AJ44" s="48">
        <v>0.95379999999999998</v>
      </c>
      <c r="AK44" s="49">
        <v>7.5700000000000003E-2</v>
      </c>
    </row>
    <row r="45" spans="1:37" x14ac:dyDescent="0.25">
      <c r="A45" s="79">
        <v>5</v>
      </c>
      <c r="B45" s="77" t="s">
        <v>33</v>
      </c>
      <c r="C45" s="77" t="s">
        <v>41</v>
      </c>
      <c r="D45" s="78" t="s">
        <v>110</v>
      </c>
      <c r="E45" s="75">
        <v>0</v>
      </c>
      <c r="F45" s="18">
        <v>65.58</v>
      </c>
      <c r="G45" s="18">
        <v>63.44</v>
      </c>
      <c r="H45" s="18">
        <v>19.71</v>
      </c>
      <c r="I45" s="114">
        <f t="shared" si="0"/>
        <v>4.8899999999999997</v>
      </c>
      <c r="J45" s="66">
        <v>135</v>
      </c>
      <c r="K45" s="66">
        <v>441</v>
      </c>
      <c r="L45" s="66">
        <v>49</v>
      </c>
      <c r="M45" s="66">
        <v>490</v>
      </c>
      <c r="N45" s="66">
        <v>63</v>
      </c>
      <c r="O45" s="66">
        <v>312</v>
      </c>
      <c r="P45" s="66">
        <v>375</v>
      </c>
      <c r="Q45" s="66">
        <v>964</v>
      </c>
      <c r="R45" s="66">
        <v>0</v>
      </c>
      <c r="S45" s="99">
        <v>36.1</v>
      </c>
      <c r="T45" s="36" t="s">
        <v>141</v>
      </c>
      <c r="U45" s="36" t="s">
        <v>141</v>
      </c>
      <c r="V45" s="36" t="s">
        <v>141</v>
      </c>
      <c r="W45" s="36" t="s">
        <v>141</v>
      </c>
      <c r="X45" s="36" t="s">
        <v>141</v>
      </c>
      <c r="Y45" s="36" t="s">
        <v>141</v>
      </c>
      <c r="Z45" s="36" t="s">
        <v>141</v>
      </c>
      <c r="AA45" s="36" t="s">
        <v>141</v>
      </c>
      <c r="AB45" s="36" t="s">
        <v>141</v>
      </c>
      <c r="AC45" s="36" t="s">
        <v>141</v>
      </c>
      <c r="AD45" s="110">
        <v>1.2200000000000001E-2</v>
      </c>
      <c r="AE45" s="118">
        <v>0.1</v>
      </c>
      <c r="AF45" s="110">
        <v>0</v>
      </c>
      <c r="AG45" s="123">
        <v>41.96</v>
      </c>
      <c r="AH45" s="123">
        <v>8.0299999999999994</v>
      </c>
      <c r="AI45" s="124">
        <v>225.28</v>
      </c>
      <c r="AJ45" s="48">
        <v>0.95379999999999998</v>
      </c>
      <c r="AK45" s="49">
        <v>7.5700000000000003E-2</v>
      </c>
    </row>
    <row r="46" spans="1:37" x14ac:dyDescent="0.25">
      <c r="A46" s="80">
        <v>5</v>
      </c>
      <c r="B46" s="81" t="s">
        <v>33</v>
      </c>
      <c r="C46" s="81" t="s">
        <v>41</v>
      </c>
      <c r="D46" s="82" t="s">
        <v>111</v>
      </c>
      <c r="E46" s="83">
        <v>0</v>
      </c>
      <c r="F46" s="88">
        <v>63.44</v>
      </c>
      <c r="G46" s="88">
        <v>63.44</v>
      </c>
      <c r="H46" s="88">
        <v>19.71</v>
      </c>
      <c r="I46" s="115">
        <f t="shared" si="0"/>
        <v>0</v>
      </c>
      <c r="J46" s="68">
        <v>135</v>
      </c>
      <c r="K46" s="68">
        <v>441</v>
      </c>
      <c r="L46" s="68">
        <v>49</v>
      </c>
      <c r="M46" s="68">
        <v>490</v>
      </c>
      <c r="N46" s="68">
        <v>63</v>
      </c>
      <c r="O46" s="68">
        <v>312</v>
      </c>
      <c r="P46" s="68">
        <v>375</v>
      </c>
      <c r="Q46" s="68">
        <v>964</v>
      </c>
      <c r="R46" s="68">
        <v>0</v>
      </c>
      <c r="S46" s="100">
        <v>36.1</v>
      </c>
      <c r="T46" s="40" t="s">
        <v>141</v>
      </c>
      <c r="U46" s="40" t="s">
        <v>141</v>
      </c>
      <c r="V46" s="40" t="s">
        <v>141</v>
      </c>
      <c r="W46" s="40" t="s">
        <v>141</v>
      </c>
      <c r="X46" s="40" t="s">
        <v>141</v>
      </c>
      <c r="Y46" s="40" t="s">
        <v>141</v>
      </c>
      <c r="Z46" s="40" t="s">
        <v>141</v>
      </c>
      <c r="AA46" s="40" t="s">
        <v>141</v>
      </c>
      <c r="AB46" s="40" t="s">
        <v>141</v>
      </c>
      <c r="AC46" s="40" t="s">
        <v>141</v>
      </c>
      <c r="AD46" s="111">
        <v>0</v>
      </c>
      <c r="AE46" s="119">
        <v>0</v>
      </c>
      <c r="AF46" s="111">
        <v>0</v>
      </c>
      <c r="AG46" s="125">
        <v>41.96</v>
      </c>
      <c r="AH46" s="125">
        <v>8.0299999999999994</v>
      </c>
      <c r="AI46" s="126">
        <v>225.28</v>
      </c>
      <c r="AJ46" s="50">
        <v>0.95379999999999998</v>
      </c>
      <c r="AK46" s="51">
        <v>7.5700000000000003E-2</v>
      </c>
    </row>
    <row r="47" spans="1:37" x14ac:dyDescent="0.25">
      <c r="A47" s="79">
        <v>6</v>
      </c>
      <c r="B47" s="77" t="s">
        <v>34</v>
      </c>
      <c r="C47" s="77" t="s">
        <v>42</v>
      </c>
      <c r="D47" s="74" t="s">
        <v>112</v>
      </c>
      <c r="E47" s="75">
        <v>0</v>
      </c>
      <c r="F47" s="18">
        <v>92.12</v>
      </c>
      <c r="G47" s="18">
        <v>80.459999999999994</v>
      </c>
      <c r="H47" s="18">
        <v>19.71</v>
      </c>
      <c r="I47" s="114">
        <f t="shared" si="0"/>
        <v>19.190000000000001</v>
      </c>
      <c r="J47" s="66">
        <v>0</v>
      </c>
      <c r="K47" s="66" t="s">
        <v>141</v>
      </c>
      <c r="L47" s="66" t="s">
        <v>141</v>
      </c>
      <c r="M47" s="66">
        <v>0</v>
      </c>
      <c r="N47" s="66" t="s">
        <v>141</v>
      </c>
      <c r="O47" s="66" t="s">
        <v>141</v>
      </c>
      <c r="P47" s="66">
        <v>1000</v>
      </c>
      <c r="Q47" s="66" t="s">
        <v>141</v>
      </c>
      <c r="R47" s="66" t="s">
        <v>141</v>
      </c>
      <c r="S47" s="99" t="s">
        <v>141</v>
      </c>
      <c r="T47" s="36" t="s">
        <v>141</v>
      </c>
      <c r="U47" s="36" t="s">
        <v>141</v>
      </c>
      <c r="V47" s="36" t="s">
        <v>141</v>
      </c>
      <c r="W47" s="36" t="s">
        <v>141</v>
      </c>
      <c r="X47" s="36" t="s">
        <v>141</v>
      </c>
      <c r="Y47" s="36" t="s">
        <v>141</v>
      </c>
      <c r="Z47" s="36" t="s">
        <v>141</v>
      </c>
      <c r="AA47" s="36" t="s">
        <v>141</v>
      </c>
      <c r="AB47" s="36" t="s">
        <v>141</v>
      </c>
      <c r="AC47" s="36" t="s">
        <v>141</v>
      </c>
      <c r="AD47" s="110">
        <v>0.10589999999999999</v>
      </c>
      <c r="AE47" s="118">
        <v>0.66</v>
      </c>
      <c r="AF47" s="110">
        <v>1.9E-3</v>
      </c>
      <c r="AG47" s="123">
        <v>21.11</v>
      </c>
      <c r="AH47" s="123">
        <v>29.31</v>
      </c>
      <c r="AI47" s="124">
        <v>94.54</v>
      </c>
      <c r="AJ47" s="48">
        <v>1.0219</v>
      </c>
      <c r="AK47" s="49">
        <v>2.8299999999999999E-2</v>
      </c>
    </row>
    <row r="48" spans="1:37" x14ac:dyDescent="0.25">
      <c r="A48" s="79">
        <v>6</v>
      </c>
      <c r="B48" s="77" t="s">
        <v>34</v>
      </c>
      <c r="C48" s="77" t="s">
        <v>42</v>
      </c>
      <c r="D48" s="78" t="s">
        <v>113</v>
      </c>
      <c r="E48" s="75">
        <v>0</v>
      </c>
      <c r="F48" s="18">
        <v>89.44</v>
      </c>
      <c r="G48" s="18">
        <v>80.459999999999994</v>
      </c>
      <c r="H48" s="18">
        <v>19.71</v>
      </c>
      <c r="I48" s="114">
        <f t="shared" si="0"/>
        <v>14.78</v>
      </c>
      <c r="J48" s="66">
        <v>0</v>
      </c>
      <c r="K48" s="66" t="s">
        <v>141</v>
      </c>
      <c r="L48" s="66" t="s">
        <v>141</v>
      </c>
      <c r="M48" s="66">
        <v>0</v>
      </c>
      <c r="N48" s="66" t="s">
        <v>141</v>
      </c>
      <c r="O48" s="66" t="s">
        <v>141</v>
      </c>
      <c r="P48" s="66">
        <v>1000</v>
      </c>
      <c r="Q48" s="66" t="s">
        <v>141</v>
      </c>
      <c r="R48" s="66" t="s">
        <v>141</v>
      </c>
      <c r="S48" s="99" t="s">
        <v>141</v>
      </c>
      <c r="T48" s="36" t="s">
        <v>141</v>
      </c>
      <c r="U48" s="36" t="s">
        <v>141</v>
      </c>
      <c r="V48" s="36" t="s">
        <v>141</v>
      </c>
      <c r="W48" s="36" t="s">
        <v>141</v>
      </c>
      <c r="X48" s="36" t="s">
        <v>141</v>
      </c>
      <c r="Y48" s="36" t="s">
        <v>141</v>
      </c>
      <c r="Z48" s="36" t="s">
        <v>141</v>
      </c>
      <c r="AA48" s="36" t="s">
        <v>141</v>
      </c>
      <c r="AB48" s="36" t="s">
        <v>141</v>
      </c>
      <c r="AC48" s="36" t="s">
        <v>141</v>
      </c>
      <c r="AD48" s="110">
        <v>9.5200000000000007E-2</v>
      </c>
      <c r="AE48" s="118">
        <v>0.49</v>
      </c>
      <c r="AF48" s="110">
        <v>4.5999999999999999E-3</v>
      </c>
      <c r="AG48" s="123">
        <v>21.11</v>
      </c>
      <c r="AH48" s="123">
        <v>29.31</v>
      </c>
      <c r="AI48" s="124">
        <v>94.54</v>
      </c>
      <c r="AJ48" s="48">
        <v>1.0219</v>
      </c>
      <c r="AK48" s="49">
        <v>2.8299999999999999E-2</v>
      </c>
    </row>
    <row r="49" spans="1:37" x14ac:dyDescent="0.25">
      <c r="A49" s="79">
        <v>6</v>
      </c>
      <c r="B49" s="77" t="s">
        <v>34</v>
      </c>
      <c r="C49" s="77" t="s">
        <v>42</v>
      </c>
      <c r="D49" s="78" t="s">
        <v>114</v>
      </c>
      <c r="E49" s="75">
        <v>0</v>
      </c>
      <c r="F49" s="18">
        <v>87.86</v>
      </c>
      <c r="G49" s="18">
        <v>80.459999999999994</v>
      </c>
      <c r="H49" s="18">
        <v>19.71</v>
      </c>
      <c r="I49" s="114">
        <f t="shared" si="0"/>
        <v>12.18</v>
      </c>
      <c r="J49" s="66">
        <v>0</v>
      </c>
      <c r="K49" s="66" t="s">
        <v>141</v>
      </c>
      <c r="L49" s="66" t="s">
        <v>141</v>
      </c>
      <c r="M49" s="66">
        <v>0</v>
      </c>
      <c r="N49" s="66" t="s">
        <v>141</v>
      </c>
      <c r="O49" s="66" t="s">
        <v>141</v>
      </c>
      <c r="P49" s="66">
        <v>1000</v>
      </c>
      <c r="Q49" s="66" t="s">
        <v>141</v>
      </c>
      <c r="R49" s="66" t="s">
        <v>141</v>
      </c>
      <c r="S49" s="99" t="s">
        <v>141</v>
      </c>
      <c r="T49" s="36" t="s">
        <v>141</v>
      </c>
      <c r="U49" s="36" t="s">
        <v>141</v>
      </c>
      <c r="V49" s="36" t="s">
        <v>141</v>
      </c>
      <c r="W49" s="36" t="s">
        <v>141</v>
      </c>
      <c r="X49" s="36" t="s">
        <v>141</v>
      </c>
      <c r="Y49" s="36" t="s">
        <v>141</v>
      </c>
      <c r="Z49" s="36" t="s">
        <v>141</v>
      </c>
      <c r="AA49" s="36" t="s">
        <v>141</v>
      </c>
      <c r="AB49" s="36" t="s">
        <v>141</v>
      </c>
      <c r="AC49" s="36" t="s">
        <v>141</v>
      </c>
      <c r="AD49" s="110">
        <v>8.5900000000000004E-2</v>
      </c>
      <c r="AE49" s="118">
        <v>0.46</v>
      </c>
      <c r="AF49" s="110">
        <v>4.8999999999999998E-3</v>
      </c>
      <c r="AG49" s="123">
        <v>21.11</v>
      </c>
      <c r="AH49" s="123">
        <v>29.31</v>
      </c>
      <c r="AI49" s="124">
        <v>94.54</v>
      </c>
      <c r="AJ49" s="48">
        <v>1.0219</v>
      </c>
      <c r="AK49" s="49">
        <v>2.8299999999999999E-2</v>
      </c>
    </row>
    <row r="50" spans="1:37" x14ac:dyDescent="0.25">
      <c r="A50" s="79">
        <v>6</v>
      </c>
      <c r="B50" s="77" t="s">
        <v>34</v>
      </c>
      <c r="C50" s="77" t="s">
        <v>42</v>
      </c>
      <c r="D50" s="78" t="s">
        <v>115</v>
      </c>
      <c r="E50" s="75">
        <v>0</v>
      </c>
      <c r="F50" s="18">
        <v>86.04</v>
      </c>
      <c r="G50" s="18">
        <v>80.459999999999994</v>
      </c>
      <c r="H50" s="18">
        <v>19.71</v>
      </c>
      <c r="I50" s="114">
        <f t="shared" si="0"/>
        <v>9.19</v>
      </c>
      <c r="J50" s="66">
        <v>0</v>
      </c>
      <c r="K50" s="66" t="s">
        <v>141</v>
      </c>
      <c r="L50" s="66" t="s">
        <v>141</v>
      </c>
      <c r="M50" s="66">
        <v>0</v>
      </c>
      <c r="N50" s="66" t="s">
        <v>141</v>
      </c>
      <c r="O50" s="66" t="s">
        <v>141</v>
      </c>
      <c r="P50" s="66">
        <v>1000</v>
      </c>
      <c r="Q50" s="66" t="s">
        <v>141</v>
      </c>
      <c r="R50" s="66" t="s">
        <v>141</v>
      </c>
      <c r="S50" s="99" t="s">
        <v>141</v>
      </c>
      <c r="T50" s="36" t="s">
        <v>141</v>
      </c>
      <c r="U50" s="36" t="s">
        <v>141</v>
      </c>
      <c r="V50" s="36" t="s">
        <v>141</v>
      </c>
      <c r="W50" s="36" t="s">
        <v>141</v>
      </c>
      <c r="X50" s="36" t="s">
        <v>141</v>
      </c>
      <c r="Y50" s="36" t="s">
        <v>141</v>
      </c>
      <c r="Z50" s="36" t="s">
        <v>141</v>
      </c>
      <c r="AA50" s="36" t="s">
        <v>141</v>
      </c>
      <c r="AB50" s="36" t="s">
        <v>141</v>
      </c>
      <c r="AC50" s="36" t="s">
        <v>141</v>
      </c>
      <c r="AD50" s="110">
        <v>6.88E-2</v>
      </c>
      <c r="AE50" s="118">
        <v>0.44</v>
      </c>
      <c r="AF50" s="110">
        <v>4.7000000000000002E-3</v>
      </c>
      <c r="AG50" s="123">
        <v>21.11</v>
      </c>
      <c r="AH50" s="123">
        <v>29.31</v>
      </c>
      <c r="AI50" s="124">
        <v>94.54</v>
      </c>
      <c r="AJ50" s="48">
        <v>1.0219</v>
      </c>
      <c r="AK50" s="49">
        <v>2.8299999999999999E-2</v>
      </c>
    </row>
    <row r="51" spans="1:37" x14ac:dyDescent="0.25">
      <c r="A51" s="79">
        <v>6</v>
      </c>
      <c r="B51" s="77" t="s">
        <v>34</v>
      </c>
      <c r="C51" s="77" t="s">
        <v>42</v>
      </c>
      <c r="D51" s="78" t="s">
        <v>116</v>
      </c>
      <c r="E51" s="75">
        <v>0</v>
      </c>
      <c r="F51" s="18">
        <v>84.39</v>
      </c>
      <c r="G51" s="18">
        <v>80.459999999999994</v>
      </c>
      <c r="H51" s="18">
        <v>19.71</v>
      </c>
      <c r="I51" s="114">
        <f t="shared" si="0"/>
        <v>6.47</v>
      </c>
      <c r="J51" s="66">
        <v>0</v>
      </c>
      <c r="K51" s="66" t="s">
        <v>141</v>
      </c>
      <c r="L51" s="66" t="s">
        <v>141</v>
      </c>
      <c r="M51" s="66">
        <v>0</v>
      </c>
      <c r="N51" s="66" t="s">
        <v>141</v>
      </c>
      <c r="O51" s="66" t="s">
        <v>141</v>
      </c>
      <c r="P51" s="66">
        <v>1000</v>
      </c>
      <c r="Q51" s="66" t="s">
        <v>141</v>
      </c>
      <c r="R51" s="66" t="s">
        <v>141</v>
      </c>
      <c r="S51" s="99" t="s">
        <v>141</v>
      </c>
      <c r="T51" s="36" t="s">
        <v>141</v>
      </c>
      <c r="U51" s="36" t="s">
        <v>141</v>
      </c>
      <c r="V51" s="36" t="s">
        <v>141</v>
      </c>
      <c r="W51" s="36" t="s">
        <v>141</v>
      </c>
      <c r="X51" s="36" t="s">
        <v>141</v>
      </c>
      <c r="Y51" s="36" t="s">
        <v>141</v>
      </c>
      <c r="Z51" s="36" t="s">
        <v>141</v>
      </c>
      <c r="AA51" s="36" t="s">
        <v>141</v>
      </c>
      <c r="AB51" s="36" t="s">
        <v>141</v>
      </c>
      <c r="AC51" s="36" t="s">
        <v>141</v>
      </c>
      <c r="AD51" s="110">
        <v>4.5499999999999999E-2</v>
      </c>
      <c r="AE51" s="118">
        <v>0.41</v>
      </c>
      <c r="AF51" s="110">
        <v>4.0000000000000001E-3</v>
      </c>
      <c r="AG51" s="123">
        <v>21.11</v>
      </c>
      <c r="AH51" s="123">
        <v>29.31</v>
      </c>
      <c r="AI51" s="124">
        <v>94.54</v>
      </c>
      <c r="AJ51" s="48">
        <v>1.0219</v>
      </c>
      <c r="AK51" s="49">
        <v>2.8299999999999999E-2</v>
      </c>
    </row>
    <row r="52" spans="1:37" x14ac:dyDescent="0.25">
      <c r="A52" s="79">
        <v>6</v>
      </c>
      <c r="B52" s="77" t="s">
        <v>34</v>
      </c>
      <c r="C52" s="77" t="s">
        <v>42</v>
      </c>
      <c r="D52" s="78" t="s">
        <v>117</v>
      </c>
      <c r="E52" s="75">
        <v>0</v>
      </c>
      <c r="F52" s="18">
        <v>82.7</v>
      </c>
      <c r="G52" s="18">
        <v>80.459999999999994</v>
      </c>
      <c r="H52" s="18">
        <v>19.71</v>
      </c>
      <c r="I52" s="114">
        <f t="shared" si="0"/>
        <v>3.69</v>
      </c>
      <c r="J52" s="66">
        <v>0</v>
      </c>
      <c r="K52" s="66" t="s">
        <v>141</v>
      </c>
      <c r="L52" s="66" t="s">
        <v>141</v>
      </c>
      <c r="M52" s="66">
        <v>0</v>
      </c>
      <c r="N52" s="66" t="s">
        <v>141</v>
      </c>
      <c r="O52" s="66" t="s">
        <v>141</v>
      </c>
      <c r="P52" s="66">
        <v>1000</v>
      </c>
      <c r="Q52" s="66" t="s">
        <v>141</v>
      </c>
      <c r="R52" s="66" t="s">
        <v>141</v>
      </c>
      <c r="S52" s="99" t="s">
        <v>141</v>
      </c>
      <c r="T52" s="36" t="s">
        <v>141</v>
      </c>
      <c r="U52" s="36" t="s">
        <v>141</v>
      </c>
      <c r="V52" s="36" t="s">
        <v>141</v>
      </c>
      <c r="W52" s="36" t="s">
        <v>141</v>
      </c>
      <c r="X52" s="36" t="s">
        <v>141</v>
      </c>
      <c r="Y52" s="36" t="s">
        <v>141</v>
      </c>
      <c r="Z52" s="36" t="s">
        <v>141</v>
      </c>
      <c r="AA52" s="36" t="s">
        <v>141</v>
      </c>
      <c r="AB52" s="36" t="s">
        <v>141</v>
      </c>
      <c r="AC52" s="36" t="s">
        <v>141</v>
      </c>
      <c r="AD52" s="110">
        <v>2.6499999999999999E-2</v>
      </c>
      <c r="AE52" s="118">
        <v>0.37</v>
      </c>
      <c r="AF52" s="110">
        <v>2.8E-3</v>
      </c>
      <c r="AG52" s="123">
        <v>21.11</v>
      </c>
      <c r="AH52" s="123">
        <v>29.31</v>
      </c>
      <c r="AI52" s="124">
        <v>94.54</v>
      </c>
      <c r="AJ52" s="48">
        <v>1.0219</v>
      </c>
      <c r="AK52" s="49">
        <v>2.8299999999999999E-2</v>
      </c>
    </row>
    <row r="53" spans="1:37" x14ac:dyDescent="0.25">
      <c r="A53" s="79">
        <v>6</v>
      </c>
      <c r="B53" s="77" t="s">
        <v>34</v>
      </c>
      <c r="C53" s="77" t="s">
        <v>42</v>
      </c>
      <c r="D53" s="78" t="s">
        <v>118</v>
      </c>
      <c r="E53" s="75">
        <v>0</v>
      </c>
      <c r="F53" s="18">
        <v>81.31</v>
      </c>
      <c r="G53" s="18">
        <v>80.459999999999994</v>
      </c>
      <c r="H53" s="18">
        <v>19.71</v>
      </c>
      <c r="I53" s="114">
        <f t="shared" si="0"/>
        <v>1.4</v>
      </c>
      <c r="J53" s="66">
        <v>0</v>
      </c>
      <c r="K53" s="66" t="s">
        <v>141</v>
      </c>
      <c r="L53" s="66" t="s">
        <v>141</v>
      </c>
      <c r="M53" s="66">
        <v>0</v>
      </c>
      <c r="N53" s="66" t="s">
        <v>141</v>
      </c>
      <c r="O53" s="66" t="s">
        <v>141</v>
      </c>
      <c r="P53" s="66">
        <v>1000</v>
      </c>
      <c r="Q53" s="66" t="s">
        <v>141</v>
      </c>
      <c r="R53" s="66" t="s">
        <v>141</v>
      </c>
      <c r="S53" s="99" t="s">
        <v>141</v>
      </c>
      <c r="T53" s="36" t="s">
        <v>141</v>
      </c>
      <c r="U53" s="36" t="s">
        <v>141</v>
      </c>
      <c r="V53" s="36" t="s">
        <v>141</v>
      </c>
      <c r="W53" s="36" t="s">
        <v>141</v>
      </c>
      <c r="X53" s="36" t="s">
        <v>141</v>
      </c>
      <c r="Y53" s="36" t="s">
        <v>141</v>
      </c>
      <c r="Z53" s="36" t="s">
        <v>141</v>
      </c>
      <c r="AA53" s="36" t="s">
        <v>141</v>
      </c>
      <c r="AB53" s="36" t="s">
        <v>141</v>
      </c>
      <c r="AC53" s="36" t="s">
        <v>141</v>
      </c>
      <c r="AD53" s="110">
        <v>1.6400000000000001E-2</v>
      </c>
      <c r="AE53" s="118">
        <v>0.03</v>
      </c>
      <c r="AF53" s="110">
        <v>0</v>
      </c>
      <c r="AG53" s="123">
        <v>21.11</v>
      </c>
      <c r="AH53" s="123">
        <v>29.31</v>
      </c>
      <c r="AI53" s="124">
        <v>94.54</v>
      </c>
      <c r="AJ53" s="48">
        <v>1.0219</v>
      </c>
      <c r="AK53" s="49">
        <v>2.8299999999999999E-2</v>
      </c>
    </row>
    <row r="54" spans="1:37" x14ac:dyDescent="0.25">
      <c r="A54" s="79">
        <v>6</v>
      </c>
      <c r="B54" s="77" t="s">
        <v>34</v>
      </c>
      <c r="C54" s="77" t="s">
        <v>42</v>
      </c>
      <c r="D54" s="78" t="s">
        <v>119</v>
      </c>
      <c r="E54" s="75">
        <v>0</v>
      </c>
      <c r="F54" s="18">
        <v>80.47</v>
      </c>
      <c r="G54" s="18">
        <v>80.459999999999994</v>
      </c>
      <c r="H54" s="18">
        <v>19.71</v>
      </c>
      <c r="I54" s="114">
        <f t="shared" si="0"/>
        <v>0.02</v>
      </c>
      <c r="J54" s="66">
        <v>0</v>
      </c>
      <c r="K54" s="66" t="s">
        <v>141</v>
      </c>
      <c r="L54" s="66" t="s">
        <v>141</v>
      </c>
      <c r="M54" s="66">
        <v>0</v>
      </c>
      <c r="N54" s="66" t="s">
        <v>141</v>
      </c>
      <c r="O54" s="66" t="s">
        <v>141</v>
      </c>
      <c r="P54" s="66">
        <v>1000</v>
      </c>
      <c r="Q54" s="66" t="s">
        <v>141</v>
      </c>
      <c r="R54" s="66" t="s">
        <v>141</v>
      </c>
      <c r="S54" s="99" t="s">
        <v>141</v>
      </c>
      <c r="T54" s="36" t="s">
        <v>141</v>
      </c>
      <c r="U54" s="36" t="s">
        <v>141</v>
      </c>
      <c r="V54" s="36" t="s">
        <v>141</v>
      </c>
      <c r="W54" s="36" t="s">
        <v>141</v>
      </c>
      <c r="X54" s="36" t="s">
        <v>141</v>
      </c>
      <c r="Y54" s="36" t="s">
        <v>141</v>
      </c>
      <c r="Z54" s="36" t="s">
        <v>141</v>
      </c>
      <c r="AA54" s="36" t="s">
        <v>141</v>
      </c>
      <c r="AB54" s="36" t="s">
        <v>141</v>
      </c>
      <c r="AC54" s="36" t="s">
        <v>141</v>
      </c>
      <c r="AD54" s="110">
        <v>7.7999999999999996E-3</v>
      </c>
      <c r="AE54" s="118">
        <v>0.01</v>
      </c>
      <c r="AF54" s="110">
        <v>0</v>
      </c>
      <c r="AG54" s="123">
        <v>21.11</v>
      </c>
      <c r="AH54" s="123">
        <v>29.31</v>
      </c>
      <c r="AI54" s="124">
        <v>94.54</v>
      </c>
      <c r="AJ54" s="48">
        <v>1.0219</v>
      </c>
      <c r="AK54" s="49">
        <v>2.8299999999999999E-2</v>
      </c>
    </row>
    <row r="55" spans="1:37" x14ac:dyDescent="0.25">
      <c r="A55" s="80">
        <v>6</v>
      </c>
      <c r="B55" s="81" t="s">
        <v>34</v>
      </c>
      <c r="C55" s="81" t="s">
        <v>42</v>
      </c>
      <c r="D55" s="82" t="s">
        <v>120</v>
      </c>
      <c r="E55" s="83">
        <v>0</v>
      </c>
      <c r="F55" s="88">
        <v>80.459999999999994</v>
      </c>
      <c r="G55" s="88">
        <v>80.459999999999994</v>
      </c>
      <c r="H55" s="88">
        <v>19.71</v>
      </c>
      <c r="I55" s="115">
        <f t="shared" si="0"/>
        <v>0</v>
      </c>
      <c r="J55" s="68">
        <v>0</v>
      </c>
      <c r="K55" s="68" t="s">
        <v>141</v>
      </c>
      <c r="L55" s="68" t="s">
        <v>141</v>
      </c>
      <c r="M55" s="68">
        <v>0</v>
      </c>
      <c r="N55" s="68" t="s">
        <v>141</v>
      </c>
      <c r="O55" s="68" t="s">
        <v>141</v>
      </c>
      <c r="P55" s="68">
        <v>1000</v>
      </c>
      <c r="Q55" s="68" t="s">
        <v>141</v>
      </c>
      <c r="R55" s="68" t="s">
        <v>141</v>
      </c>
      <c r="S55" s="68" t="s">
        <v>141</v>
      </c>
      <c r="T55" s="40" t="s">
        <v>141</v>
      </c>
      <c r="U55" s="40" t="s">
        <v>141</v>
      </c>
      <c r="V55" s="40" t="s">
        <v>141</v>
      </c>
      <c r="W55" s="40" t="s">
        <v>141</v>
      </c>
      <c r="X55" s="40" t="s">
        <v>141</v>
      </c>
      <c r="Y55" s="40" t="s">
        <v>141</v>
      </c>
      <c r="Z55" s="40" t="s">
        <v>141</v>
      </c>
      <c r="AA55" s="40" t="s">
        <v>141</v>
      </c>
      <c r="AB55" s="40" t="s">
        <v>141</v>
      </c>
      <c r="AC55" s="40" t="s">
        <v>141</v>
      </c>
      <c r="AD55" s="111">
        <v>0</v>
      </c>
      <c r="AE55" s="119">
        <v>0</v>
      </c>
      <c r="AF55" s="111">
        <v>0</v>
      </c>
      <c r="AG55" s="125">
        <v>21.11</v>
      </c>
      <c r="AH55" s="125">
        <v>29.31</v>
      </c>
      <c r="AI55" s="126">
        <v>94.54</v>
      </c>
      <c r="AJ55" s="50">
        <v>1.0219</v>
      </c>
      <c r="AK55" s="51">
        <v>2.8299999999999999E-2</v>
      </c>
    </row>
    <row r="56" spans="1:37" x14ac:dyDescent="0.25">
      <c r="A56" s="79">
        <v>7</v>
      </c>
      <c r="B56" s="77" t="s">
        <v>35</v>
      </c>
      <c r="C56" s="77" t="s">
        <v>43</v>
      </c>
      <c r="D56" s="74" t="s">
        <v>121</v>
      </c>
      <c r="E56" s="75">
        <v>0</v>
      </c>
      <c r="F56" s="18">
        <v>87.54</v>
      </c>
      <c r="G56" s="18">
        <v>75.540000000000006</v>
      </c>
      <c r="H56" s="18">
        <v>19.71</v>
      </c>
      <c r="I56" s="114">
        <f t="shared" si="0"/>
        <v>21.49</v>
      </c>
      <c r="J56" s="66" t="s">
        <v>141</v>
      </c>
      <c r="K56" s="66" t="s">
        <v>141</v>
      </c>
      <c r="L56" s="66" t="s">
        <v>141</v>
      </c>
      <c r="M56" s="66" t="s">
        <v>141</v>
      </c>
      <c r="N56" s="66" t="s">
        <v>141</v>
      </c>
      <c r="O56" s="66" t="s">
        <v>141</v>
      </c>
      <c r="P56" s="66" t="s">
        <v>141</v>
      </c>
      <c r="Q56" s="66" t="s">
        <v>141</v>
      </c>
      <c r="R56" s="66" t="s">
        <v>141</v>
      </c>
      <c r="S56" s="99" t="s">
        <v>141</v>
      </c>
      <c r="T56" s="36" t="s">
        <v>141</v>
      </c>
      <c r="U56" s="36" t="s">
        <v>141</v>
      </c>
      <c r="V56" s="36" t="s">
        <v>141</v>
      </c>
      <c r="W56" s="36">
        <v>45.5</v>
      </c>
      <c r="X56" s="36">
        <v>27</v>
      </c>
      <c r="Y56" s="36">
        <v>7.9</v>
      </c>
      <c r="Z56" s="36">
        <v>18.7</v>
      </c>
      <c r="AA56" s="36">
        <v>0</v>
      </c>
      <c r="AB56" s="36">
        <v>0</v>
      </c>
      <c r="AC56" s="36">
        <v>0.9</v>
      </c>
      <c r="AD56" s="110">
        <v>4.2200000000000001E-2</v>
      </c>
      <c r="AE56" s="118">
        <v>0.62</v>
      </c>
      <c r="AF56" s="110">
        <v>2.5700000000000001E-2</v>
      </c>
      <c r="AG56" s="123">
        <v>21.53</v>
      </c>
      <c r="AH56" s="123">
        <v>17.690000000000001</v>
      </c>
      <c r="AI56" s="124">
        <v>1058.5999999999999</v>
      </c>
      <c r="AJ56" s="48">
        <v>1.0976999999999999</v>
      </c>
      <c r="AK56" s="49">
        <v>3.0000000000000001E-3</v>
      </c>
    </row>
    <row r="57" spans="1:37" x14ac:dyDescent="0.25">
      <c r="A57" s="79">
        <v>7</v>
      </c>
      <c r="B57" s="77" t="s">
        <v>35</v>
      </c>
      <c r="C57" s="77" t="s">
        <v>43</v>
      </c>
      <c r="D57" s="78" t="s">
        <v>122</v>
      </c>
      <c r="E57" s="75">
        <v>0</v>
      </c>
      <c r="F57" s="18">
        <v>84</v>
      </c>
      <c r="G57" s="18">
        <v>75.540000000000006</v>
      </c>
      <c r="H57" s="18">
        <v>19.71</v>
      </c>
      <c r="I57" s="114">
        <f t="shared" si="0"/>
        <v>15.15</v>
      </c>
      <c r="J57" s="66" t="s">
        <v>141</v>
      </c>
      <c r="K57" s="66" t="s">
        <v>141</v>
      </c>
      <c r="L57" s="66" t="s">
        <v>141</v>
      </c>
      <c r="M57" s="66" t="s">
        <v>141</v>
      </c>
      <c r="N57" s="66" t="s">
        <v>141</v>
      </c>
      <c r="O57" s="66" t="s">
        <v>141</v>
      </c>
      <c r="P57" s="66" t="s">
        <v>141</v>
      </c>
      <c r="Q57" s="66" t="s">
        <v>141</v>
      </c>
      <c r="R57" s="66" t="s">
        <v>141</v>
      </c>
      <c r="S57" s="99" t="s">
        <v>141</v>
      </c>
      <c r="T57" s="36" t="s">
        <v>141</v>
      </c>
      <c r="U57" s="36" t="s">
        <v>141</v>
      </c>
      <c r="V57" s="36" t="s">
        <v>141</v>
      </c>
      <c r="W57" s="36">
        <v>45.5</v>
      </c>
      <c r="X57" s="36">
        <v>27</v>
      </c>
      <c r="Y57" s="36">
        <v>7.9</v>
      </c>
      <c r="Z57" s="36">
        <v>18.7</v>
      </c>
      <c r="AA57" s="36">
        <v>0</v>
      </c>
      <c r="AB57" s="36">
        <v>0</v>
      </c>
      <c r="AC57" s="36">
        <v>0.9</v>
      </c>
      <c r="AD57" s="110">
        <v>3.5000000000000001E-3</v>
      </c>
      <c r="AE57" s="118">
        <v>1</v>
      </c>
      <c r="AF57" s="110">
        <v>2.9100000000000001E-2</v>
      </c>
      <c r="AG57" s="123">
        <v>21.53</v>
      </c>
      <c r="AH57" s="123">
        <v>17.690000000000001</v>
      </c>
      <c r="AI57" s="124">
        <v>1058.5999999999999</v>
      </c>
      <c r="AJ57" s="48">
        <v>1.0976999999999999</v>
      </c>
      <c r="AK57" s="49">
        <v>3.0000000000000001E-3</v>
      </c>
    </row>
    <row r="58" spans="1:37" x14ac:dyDescent="0.25">
      <c r="A58" s="79">
        <v>7</v>
      </c>
      <c r="B58" s="77" t="s">
        <v>35</v>
      </c>
      <c r="C58" s="77" t="s">
        <v>43</v>
      </c>
      <c r="D58" s="78" t="s">
        <v>123</v>
      </c>
      <c r="E58" s="75">
        <v>0</v>
      </c>
      <c r="F58" s="18">
        <v>82.15</v>
      </c>
      <c r="G58" s="18">
        <v>75.540000000000006</v>
      </c>
      <c r="H58" s="18">
        <v>19.71</v>
      </c>
      <c r="I58" s="114">
        <f t="shared" si="0"/>
        <v>11.84</v>
      </c>
      <c r="J58" s="66" t="s">
        <v>141</v>
      </c>
      <c r="K58" s="66" t="s">
        <v>141</v>
      </c>
      <c r="L58" s="66" t="s">
        <v>141</v>
      </c>
      <c r="M58" s="66" t="s">
        <v>141</v>
      </c>
      <c r="N58" s="66" t="s">
        <v>141</v>
      </c>
      <c r="O58" s="66" t="s">
        <v>141</v>
      </c>
      <c r="P58" s="66" t="s">
        <v>141</v>
      </c>
      <c r="Q58" s="66" t="s">
        <v>141</v>
      </c>
      <c r="R58" s="66" t="s">
        <v>141</v>
      </c>
      <c r="S58" s="99" t="s">
        <v>141</v>
      </c>
      <c r="T58" s="36" t="s">
        <v>141</v>
      </c>
      <c r="U58" s="36" t="s">
        <v>141</v>
      </c>
      <c r="V58" s="36" t="s">
        <v>141</v>
      </c>
      <c r="W58" s="36">
        <v>45.5</v>
      </c>
      <c r="X58" s="36">
        <v>27</v>
      </c>
      <c r="Y58" s="36">
        <v>7.9</v>
      </c>
      <c r="Z58" s="36">
        <v>18.7</v>
      </c>
      <c r="AA58" s="36">
        <v>0</v>
      </c>
      <c r="AB58" s="36">
        <v>0</v>
      </c>
      <c r="AC58" s="36">
        <v>0.9</v>
      </c>
      <c r="AD58" s="110">
        <v>2.5999999999999999E-3</v>
      </c>
      <c r="AE58" s="118">
        <v>0.96</v>
      </c>
      <c r="AF58" s="110">
        <v>0</v>
      </c>
      <c r="AG58" s="123">
        <v>21.53</v>
      </c>
      <c r="AH58" s="123">
        <v>17.690000000000001</v>
      </c>
      <c r="AI58" s="124">
        <v>1058.5999999999999</v>
      </c>
      <c r="AJ58" s="48">
        <v>1.0976999999999999</v>
      </c>
      <c r="AK58" s="49">
        <v>3.0000000000000001E-3</v>
      </c>
    </row>
    <row r="59" spans="1:37" x14ac:dyDescent="0.25">
      <c r="A59" s="79">
        <v>7</v>
      </c>
      <c r="B59" s="77" t="s">
        <v>35</v>
      </c>
      <c r="C59" s="77" t="s">
        <v>43</v>
      </c>
      <c r="D59" s="78" t="s">
        <v>124</v>
      </c>
      <c r="E59" s="75">
        <v>0</v>
      </c>
      <c r="F59" s="18">
        <v>80.03</v>
      </c>
      <c r="G59" s="18">
        <v>75.540000000000006</v>
      </c>
      <c r="H59" s="18">
        <v>19.71</v>
      </c>
      <c r="I59" s="114">
        <f t="shared" si="0"/>
        <v>8.0399999999999991</v>
      </c>
      <c r="J59" s="66" t="s">
        <v>141</v>
      </c>
      <c r="K59" s="66" t="s">
        <v>141</v>
      </c>
      <c r="L59" s="66" t="s">
        <v>141</v>
      </c>
      <c r="M59" s="66" t="s">
        <v>141</v>
      </c>
      <c r="N59" s="66" t="s">
        <v>141</v>
      </c>
      <c r="O59" s="66" t="s">
        <v>141</v>
      </c>
      <c r="P59" s="66" t="s">
        <v>141</v>
      </c>
      <c r="Q59" s="66" t="s">
        <v>141</v>
      </c>
      <c r="R59" s="66" t="s">
        <v>141</v>
      </c>
      <c r="S59" s="99" t="s">
        <v>141</v>
      </c>
      <c r="T59" s="36" t="s">
        <v>141</v>
      </c>
      <c r="U59" s="36" t="s">
        <v>141</v>
      </c>
      <c r="V59" s="36" t="s">
        <v>141</v>
      </c>
      <c r="W59" s="36">
        <v>45.5</v>
      </c>
      <c r="X59" s="36">
        <v>27</v>
      </c>
      <c r="Y59" s="36">
        <v>7.9</v>
      </c>
      <c r="Z59" s="36">
        <v>18.7</v>
      </c>
      <c r="AA59" s="36">
        <v>0</v>
      </c>
      <c r="AB59" s="36">
        <v>0</v>
      </c>
      <c r="AC59" s="36">
        <v>0.9</v>
      </c>
      <c r="AD59" s="110">
        <v>2.5999999999999999E-3</v>
      </c>
      <c r="AE59" s="118">
        <v>0.78</v>
      </c>
      <c r="AF59" s="110">
        <v>0</v>
      </c>
      <c r="AG59" s="123">
        <v>21.53</v>
      </c>
      <c r="AH59" s="123">
        <v>17.690000000000001</v>
      </c>
      <c r="AI59" s="124">
        <v>1058.5999999999999</v>
      </c>
      <c r="AJ59" s="48">
        <v>1.0976999999999999</v>
      </c>
      <c r="AK59" s="49">
        <v>3.0000000000000001E-3</v>
      </c>
    </row>
    <row r="60" spans="1:37" x14ac:dyDescent="0.25">
      <c r="A60" s="79">
        <v>7</v>
      </c>
      <c r="B60" s="77" t="s">
        <v>35</v>
      </c>
      <c r="C60" s="77" t="s">
        <v>43</v>
      </c>
      <c r="D60" s="78" t="s">
        <v>125</v>
      </c>
      <c r="E60" s="75">
        <v>0</v>
      </c>
      <c r="F60" s="18">
        <v>78.12</v>
      </c>
      <c r="G60" s="18">
        <v>75.540000000000006</v>
      </c>
      <c r="H60" s="18">
        <v>19.71</v>
      </c>
      <c r="I60" s="114">
        <f t="shared" si="0"/>
        <v>4.62</v>
      </c>
      <c r="J60" s="66" t="s">
        <v>141</v>
      </c>
      <c r="K60" s="66" t="s">
        <v>141</v>
      </c>
      <c r="L60" s="66" t="s">
        <v>141</v>
      </c>
      <c r="M60" s="66" t="s">
        <v>141</v>
      </c>
      <c r="N60" s="66" t="s">
        <v>141</v>
      </c>
      <c r="O60" s="66" t="s">
        <v>141</v>
      </c>
      <c r="P60" s="66" t="s">
        <v>141</v>
      </c>
      <c r="Q60" s="66" t="s">
        <v>141</v>
      </c>
      <c r="R60" s="66" t="s">
        <v>141</v>
      </c>
      <c r="S60" s="99" t="s">
        <v>141</v>
      </c>
      <c r="T60" s="36" t="s">
        <v>141</v>
      </c>
      <c r="U60" s="36" t="s">
        <v>141</v>
      </c>
      <c r="V60" s="36" t="s">
        <v>141</v>
      </c>
      <c r="W60" s="36">
        <v>45.5</v>
      </c>
      <c r="X60" s="36">
        <v>27</v>
      </c>
      <c r="Y60" s="36">
        <v>7.9</v>
      </c>
      <c r="Z60" s="36">
        <v>18.7</v>
      </c>
      <c r="AA60" s="36">
        <v>0</v>
      </c>
      <c r="AB60" s="36">
        <v>0</v>
      </c>
      <c r="AC60" s="36">
        <v>0.9</v>
      </c>
      <c r="AD60" s="110">
        <v>6.3E-3</v>
      </c>
      <c r="AE60" s="118">
        <v>0.36</v>
      </c>
      <c r="AF60" s="110">
        <v>7.2700000000000001E-2</v>
      </c>
      <c r="AG60" s="123">
        <v>21.53</v>
      </c>
      <c r="AH60" s="123">
        <v>17.690000000000001</v>
      </c>
      <c r="AI60" s="124">
        <v>1058.5999999999999</v>
      </c>
      <c r="AJ60" s="48">
        <v>1.0976999999999999</v>
      </c>
      <c r="AK60" s="49">
        <v>3.0000000000000001E-3</v>
      </c>
    </row>
    <row r="61" spans="1:37" x14ac:dyDescent="0.25">
      <c r="A61" s="79">
        <v>7</v>
      </c>
      <c r="B61" s="77" t="s">
        <v>35</v>
      </c>
      <c r="C61" s="77" t="s">
        <v>43</v>
      </c>
      <c r="D61" s="78" t="s">
        <v>126</v>
      </c>
      <c r="E61" s="75">
        <v>0</v>
      </c>
      <c r="F61" s="18">
        <v>76.94</v>
      </c>
      <c r="G61" s="18">
        <v>75.540000000000006</v>
      </c>
      <c r="H61" s="18">
        <v>19.71</v>
      </c>
      <c r="I61" s="114">
        <f t="shared" si="0"/>
        <v>2.5099999999999998</v>
      </c>
      <c r="J61" s="66" t="s">
        <v>141</v>
      </c>
      <c r="K61" s="66" t="s">
        <v>141</v>
      </c>
      <c r="L61" s="66" t="s">
        <v>141</v>
      </c>
      <c r="M61" s="66" t="s">
        <v>141</v>
      </c>
      <c r="N61" s="66" t="s">
        <v>141</v>
      </c>
      <c r="O61" s="66" t="s">
        <v>141</v>
      </c>
      <c r="P61" s="66" t="s">
        <v>141</v>
      </c>
      <c r="Q61" s="66" t="s">
        <v>141</v>
      </c>
      <c r="R61" s="66" t="s">
        <v>141</v>
      </c>
      <c r="S61" s="99" t="s">
        <v>141</v>
      </c>
      <c r="T61" s="36" t="s">
        <v>141</v>
      </c>
      <c r="U61" s="36" t="s">
        <v>141</v>
      </c>
      <c r="V61" s="36" t="s">
        <v>141</v>
      </c>
      <c r="W61" s="36">
        <v>45.5</v>
      </c>
      <c r="X61" s="36">
        <v>27</v>
      </c>
      <c r="Y61" s="36">
        <v>7.9</v>
      </c>
      <c r="Z61" s="36">
        <v>18.7</v>
      </c>
      <c r="AA61" s="36">
        <v>0</v>
      </c>
      <c r="AB61" s="36">
        <v>0</v>
      </c>
      <c r="AC61" s="36">
        <v>0.9</v>
      </c>
      <c r="AD61" s="110">
        <v>6.7999999999999996E-3</v>
      </c>
      <c r="AE61" s="118">
        <v>0.03</v>
      </c>
      <c r="AF61" s="110">
        <v>0</v>
      </c>
      <c r="AG61" s="123">
        <v>21.53</v>
      </c>
      <c r="AH61" s="123">
        <v>17.690000000000001</v>
      </c>
      <c r="AI61" s="124">
        <v>1058.5999999999999</v>
      </c>
      <c r="AJ61" s="48">
        <v>1.0976999999999999</v>
      </c>
      <c r="AK61" s="49">
        <v>3.0000000000000001E-3</v>
      </c>
    </row>
    <row r="62" spans="1:37" x14ac:dyDescent="0.25">
      <c r="A62" s="79">
        <v>7</v>
      </c>
      <c r="B62" s="77" t="s">
        <v>35</v>
      </c>
      <c r="C62" s="77" t="s">
        <v>43</v>
      </c>
      <c r="D62" s="78" t="s">
        <v>127</v>
      </c>
      <c r="E62" s="75">
        <v>0</v>
      </c>
      <c r="F62" s="18">
        <v>76.45</v>
      </c>
      <c r="G62" s="18">
        <v>75.540000000000006</v>
      </c>
      <c r="H62" s="18">
        <v>19.71</v>
      </c>
      <c r="I62" s="114">
        <f t="shared" si="0"/>
        <v>1.63</v>
      </c>
      <c r="J62" s="66" t="s">
        <v>141</v>
      </c>
      <c r="K62" s="66" t="s">
        <v>141</v>
      </c>
      <c r="L62" s="66" t="s">
        <v>141</v>
      </c>
      <c r="M62" s="66" t="s">
        <v>141</v>
      </c>
      <c r="N62" s="66" t="s">
        <v>141</v>
      </c>
      <c r="O62" s="66" t="s">
        <v>141</v>
      </c>
      <c r="P62" s="66" t="s">
        <v>141</v>
      </c>
      <c r="Q62" s="66" t="s">
        <v>141</v>
      </c>
      <c r="R62" s="66" t="s">
        <v>141</v>
      </c>
      <c r="S62" s="99" t="s">
        <v>141</v>
      </c>
      <c r="T62" s="36" t="s">
        <v>141</v>
      </c>
      <c r="U62" s="36" t="s">
        <v>141</v>
      </c>
      <c r="V62" s="36" t="s">
        <v>141</v>
      </c>
      <c r="W62" s="36">
        <v>45.5</v>
      </c>
      <c r="X62" s="36">
        <v>27</v>
      </c>
      <c r="Y62" s="36">
        <v>7.9</v>
      </c>
      <c r="Z62" s="36">
        <v>18.7</v>
      </c>
      <c r="AA62" s="36">
        <v>0</v>
      </c>
      <c r="AB62" s="36">
        <v>0</v>
      </c>
      <c r="AC62" s="36">
        <v>0.9</v>
      </c>
      <c r="AD62" s="110">
        <v>4.7999999999999996E-3</v>
      </c>
      <c r="AE62" s="118">
        <v>0.03</v>
      </c>
      <c r="AF62" s="110">
        <v>0</v>
      </c>
      <c r="AG62" s="123">
        <v>21.53</v>
      </c>
      <c r="AH62" s="123">
        <v>17.690000000000001</v>
      </c>
      <c r="AI62" s="124">
        <v>1058.5999999999999</v>
      </c>
      <c r="AJ62" s="48">
        <v>1.0976999999999999</v>
      </c>
      <c r="AK62" s="49">
        <v>3.0000000000000001E-3</v>
      </c>
    </row>
    <row r="63" spans="1:37" x14ac:dyDescent="0.25">
      <c r="A63" s="79">
        <v>7</v>
      </c>
      <c r="B63" s="77" t="s">
        <v>35</v>
      </c>
      <c r="C63" s="77" t="s">
        <v>43</v>
      </c>
      <c r="D63" s="78" t="s">
        <v>128</v>
      </c>
      <c r="E63" s="75">
        <v>0</v>
      </c>
      <c r="F63" s="18">
        <v>75.709999999999994</v>
      </c>
      <c r="G63" s="18">
        <v>75.540000000000006</v>
      </c>
      <c r="H63" s="18">
        <v>19.71</v>
      </c>
      <c r="I63" s="114">
        <f t="shared" si="0"/>
        <v>0.3</v>
      </c>
      <c r="J63" s="66" t="s">
        <v>141</v>
      </c>
      <c r="K63" s="66" t="s">
        <v>141</v>
      </c>
      <c r="L63" s="66" t="s">
        <v>141</v>
      </c>
      <c r="M63" s="66" t="s">
        <v>141</v>
      </c>
      <c r="N63" s="66" t="s">
        <v>141</v>
      </c>
      <c r="O63" s="66" t="s">
        <v>141</v>
      </c>
      <c r="P63" s="66" t="s">
        <v>141</v>
      </c>
      <c r="Q63" s="66" t="s">
        <v>141</v>
      </c>
      <c r="R63" s="66" t="s">
        <v>141</v>
      </c>
      <c r="S63" s="99" t="s">
        <v>141</v>
      </c>
      <c r="T63" s="36" t="s">
        <v>141</v>
      </c>
      <c r="U63" s="36" t="s">
        <v>141</v>
      </c>
      <c r="V63" s="36" t="s">
        <v>141</v>
      </c>
      <c r="W63" s="36">
        <v>45.5</v>
      </c>
      <c r="X63" s="36">
        <v>27</v>
      </c>
      <c r="Y63" s="36">
        <v>7.9</v>
      </c>
      <c r="Z63" s="36">
        <v>18.7</v>
      </c>
      <c r="AA63" s="36">
        <v>0</v>
      </c>
      <c r="AB63" s="36">
        <v>0</v>
      </c>
      <c r="AC63" s="36">
        <v>0.9</v>
      </c>
      <c r="AD63" s="110">
        <v>9.1999999999999998E-3</v>
      </c>
      <c r="AE63" s="118">
        <v>0.01</v>
      </c>
      <c r="AF63" s="110">
        <v>0</v>
      </c>
      <c r="AG63" s="123">
        <v>21.53</v>
      </c>
      <c r="AH63" s="123">
        <v>17.690000000000001</v>
      </c>
      <c r="AI63" s="124">
        <v>1058.5999999999999</v>
      </c>
      <c r="AJ63" s="48">
        <v>1.0976999999999999</v>
      </c>
      <c r="AK63" s="49">
        <v>3.0000000000000001E-3</v>
      </c>
    </row>
    <row r="64" spans="1:37" x14ac:dyDescent="0.25">
      <c r="A64" s="80">
        <v>7</v>
      </c>
      <c r="B64" s="81" t="s">
        <v>35</v>
      </c>
      <c r="C64" s="82" t="s">
        <v>43</v>
      </c>
      <c r="D64" s="82" t="s">
        <v>129</v>
      </c>
      <c r="E64" s="83">
        <v>0</v>
      </c>
      <c r="F64" s="88">
        <v>75.540000000000006</v>
      </c>
      <c r="G64" s="88">
        <v>75.540000000000006</v>
      </c>
      <c r="H64" s="88">
        <v>19.71</v>
      </c>
      <c r="I64" s="115">
        <f t="shared" si="0"/>
        <v>0</v>
      </c>
      <c r="J64" s="68" t="s">
        <v>141</v>
      </c>
      <c r="K64" s="68" t="s">
        <v>141</v>
      </c>
      <c r="L64" s="68" t="s">
        <v>141</v>
      </c>
      <c r="M64" s="68" t="s">
        <v>141</v>
      </c>
      <c r="N64" s="68" t="s">
        <v>141</v>
      </c>
      <c r="O64" s="68" t="s">
        <v>141</v>
      </c>
      <c r="P64" s="68" t="s">
        <v>141</v>
      </c>
      <c r="Q64" s="68" t="s">
        <v>141</v>
      </c>
      <c r="R64" s="68" t="s">
        <v>141</v>
      </c>
      <c r="S64" s="100" t="s">
        <v>141</v>
      </c>
      <c r="T64" s="40" t="s">
        <v>141</v>
      </c>
      <c r="U64" s="40" t="s">
        <v>141</v>
      </c>
      <c r="V64" s="40" t="s">
        <v>141</v>
      </c>
      <c r="W64" s="40">
        <v>45.5</v>
      </c>
      <c r="X64" s="40">
        <v>27</v>
      </c>
      <c r="Y64" s="40">
        <v>7.9</v>
      </c>
      <c r="Z64" s="40">
        <v>18.7</v>
      </c>
      <c r="AA64" s="40">
        <v>0</v>
      </c>
      <c r="AB64" s="40">
        <v>0</v>
      </c>
      <c r="AC64" s="40">
        <v>0.9</v>
      </c>
      <c r="AD64" s="111">
        <v>0</v>
      </c>
      <c r="AE64" s="119">
        <v>0</v>
      </c>
      <c r="AF64" s="111">
        <v>0</v>
      </c>
      <c r="AG64" s="125">
        <v>21.53</v>
      </c>
      <c r="AH64" s="125">
        <v>17.690000000000001</v>
      </c>
      <c r="AI64" s="126">
        <v>1058.5999999999999</v>
      </c>
      <c r="AJ64" s="50">
        <v>1.0976999999999999</v>
      </c>
      <c r="AK64" s="51">
        <v>3.0000000000000001E-3</v>
      </c>
    </row>
    <row r="65" spans="1:37" x14ac:dyDescent="0.25">
      <c r="A65" s="79">
        <v>8</v>
      </c>
      <c r="B65" s="77" t="s">
        <v>36</v>
      </c>
      <c r="C65" s="77" t="s">
        <v>37</v>
      </c>
      <c r="D65" s="74" t="s">
        <v>130</v>
      </c>
      <c r="E65" s="75">
        <v>0</v>
      </c>
      <c r="F65" s="18">
        <v>70.25</v>
      </c>
      <c r="G65" s="18">
        <v>49.59</v>
      </c>
      <c r="H65" s="18">
        <v>19.61</v>
      </c>
      <c r="I65" s="114">
        <f t="shared" si="0"/>
        <v>68.91</v>
      </c>
      <c r="J65" s="66">
        <v>738</v>
      </c>
      <c r="K65" s="66" t="s">
        <v>141</v>
      </c>
      <c r="L65" s="66" t="s">
        <v>141</v>
      </c>
      <c r="M65" s="66">
        <v>194</v>
      </c>
      <c r="N65" s="66" t="s">
        <v>141</v>
      </c>
      <c r="O65" s="66" t="s">
        <v>141</v>
      </c>
      <c r="P65" s="66">
        <v>68</v>
      </c>
      <c r="Q65" s="66" t="s">
        <v>141</v>
      </c>
      <c r="R65" s="66" t="s">
        <v>141</v>
      </c>
      <c r="S65" s="99" t="s">
        <v>141</v>
      </c>
      <c r="T65" s="36">
        <v>14.4</v>
      </c>
      <c r="U65" s="36">
        <v>117</v>
      </c>
      <c r="V65" s="36">
        <v>1.35</v>
      </c>
      <c r="W65" s="36" t="s">
        <v>141</v>
      </c>
      <c r="X65" s="36" t="s">
        <v>141</v>
      </c>
      <c r="Y65" s="36" t="s">
        <v>141</v>
      </c>
      <c r="Z65" s="36" t="s">
        <v>141</v>
      </c>
      <c r="AA65" s="36" t="s">
        <v>141</v>
      </c>
      <c r="AB65" s="36" t="s">
        <v>141</v>
      </c>
      <c r="AC65" s="36" t="s">
        <v>141</v>
      </c>
      <c r="AD65" s="110">
        <v>4.9099999999999998E-2</v>
      </c>
      <c r="AE65" s="118">
        <v>0.45</v>
      </c>
      <c r="AF65" s="110">
        <v>0</v>
      </c>
      <c r="AG65" s="123">
        <v>75.8</v>
      </c>
      <c r="AH65" s="123">
        <v>5.37</v>
      </c>
      <c r="AI65" s="124">
        <v>159.22999999999999</v>
      </c>
      <c r="AJ65" s="48">
        <v>1.0145999999999999</v>
      </c>
      <c r="AK65" s="49">
        <v>2.8199999999999999E-2</v>
      </c>
    </row>
    <row r="66" spans="1:37" x14ac:dyDescent="0.25">
      <c r="A66" s="79">
        <v>8</v>
      </c>
      <c r="B66" s="77" t="s">
        <v>36</v>
      </c>
      <c r="C66" s="77" t="s">
        <v>37</v>
      </c>
      <c r="D66" s="78" t="s">
        <v>131</v>
      </c>
      <c r="E66" s="75">
        <v>0</v>
      </c>
      <c r="F66" s="18">
        <v>67.400000000000006</v>
      </c>
      <c r="G66" s="18">
        <v>49.59</v>
      </c>
      <c r="H66" s="18">
        <v>19.61</v>
      </c>
      <c r="I66" s="114">
        <f t="shared" si="0"/>
        <v>59.41</v>
      </c>
      <c r="J66" s="66">
        <v>738</v>
      </c>
      <c r="K66" s="66" t="s">
        <v>141</v>
      </c>
      <c r="L66" s="66" t="s">
        <v>141</v>
      </c>
      <c r="M66" s="66">
        <v>194</v>
      </c>
      <c r="N66" s="66" t="s">
        <v>141</v>
      </c>
      <c r="O66" s="66" t="s">
        <v>141</v>
      </c>
      <c r="P66" s="66">
        <v>68</v>
      </c>
      <c r="Q66" s="66" t="s">
        <v>141</v>
      </c>
      <c r="R66" s="66" t="s">
        <v>141</v>
      </c>
      <c r="S66" s="99" t="s">
        <v>141</v>
      </c>
      <c r="T66" s="36">
        <v>14.4</v>
      </c>
      <c r="U66" s="36">
        <v>117</v>
      </c>
      <c r="V66" s="36">
        <v>1.35</v>
      </c>
      <c r="W66" s="36" t="s">
        <v>141</v>
      </c>
      <c r="X66" s="36" t="s">
        <v>141</v>
      </c>
      <c r="Y66" s="36" t="s">
        <v>141</v>
      </c>
      <c r="Z66" s="36" t="s">
        <v>141</v>
      </c>
      <c r="AA66" s="36" t="s">
        <v>141</v>
      </c>
      <c r="AB66" s="36" t="s">
        <v>141</v>
      </c>
      <c r="AC66" s="36" t="s">
        <v>141</v>
      </c>
      <c r="AD66" s="110">
        <v>4.2000000000000003E-2</v>
      </c>
      <c r="AE66" s="118">
        <v>0.42</v>
      </c>
      <c r="AF66" s="110">
        <v>0</v>
      </c>
      <c r="AG66" s="123">
        <v>75.8</v>
      </c>
      <c r="AH66" s="123">
        <v>5.37</v>
      </c>
      <c r="AI66" s="124">
        <v>159.22999999999999</v>
      </c>
      <c r="AJ66" s="48">
        <v>1.0145999999999999</v>
      </c>
      <c r="AK66" s="49">
        <v>2.8199999999999999E-2</v>
      </c>
    </row>
    <row r="67" spans="1:37" x14ac:dyDescent="0.25">
      <c r="A67" s="79">
        <v>8</v>
      </c>
      <c r="B67" s="77" t="s">
        <v>36</v>
      </c>
      <c r="C67" s="77" t="s">
        <v>37</v>
      </c>
      <c r="D67" s="78" t="s">
        <v>132</v>
      </c>
      <c r="E67" s="75">
        <v>0</v>
      </c>
      <c r="F67" s="18">
        <v>66.06</v>
      </c>
      <c r="G67" s="18">
        <v>49.59</v>
      </c>
      <c r="H67" s="18">
        <v>19.61</v>
      </c>
      <c r="I67" s="114">
        <f t="shared" si="0"/>
        <v>54.94</v>
      </c>
      <c r="J67" s="66">
        <v>738</v>
      </c>
      <c r="K67" s="66" t="s">
        <v>141</v>
      </c>
      <c r="L67" s="66" t="s">
        <v>141</v>
      </c>
      <c r="M67" s="66">
        <v>194</v>
      </c>
      <c r="N67" s="66" t="s">
        <v>141</v>
      </c>
      <c r="O67" s="66" t="s">
        <v>141</v>
      </c>
      <c r="P67" s="66">
        <v>68</v>
      </c>
      <c r="Q67" s="66" t="s">
        <v>141</v>
      </c>
      <c r="R67" s="66" t="s">
        <v>141</v>
      </c>
      <c r="S67" s="99" t="s">
        <v>141</v>
      </c>
      <c r="T67" s="36">
        <v>14.4</v>
      </c>
      <c r="U67" s="36">
        <v>117</v>
      </c>
      <c r="V67" s="36">
        <v>1.35</v>
      </c>
      <c r="W67" s="36" t="s">
        <v>141</v>
      </c>
      <c r="X67" s="36" t="s">
        <v>141</v>
      </c>
      <c r="Y67" s="36" t="s">
        <v>141</v>
      </c>
      <c r="Z67" s="36" t="s">
        <v>141</v>
      </c>
      <c r="AA67" s="36" t="s">
        <v>141</v>
      </c>
      <c r="AB67" s="36" t="s">
        <v>141</v>
      </c>
      <c r="AC67" s="36" t="s">
        <v>141</v>
      </c>
      <c r="AD67" s="110">
        <v>4.07E-2</v>
      </c>
      <c r="AE67" s="118">
        <v>0.41</v>
      </c>
      <c r="AF67" s="110">
        <v>0</v>
      </c>
      <c r="AG67" s="123">
        <v>75.8</v>
      </c>
      <c r="AH67" s="123">
        <v>5.37</v>
      </c>
      <c r="AI67" s="124">
        <v>159.22999999999999</v>
      </c>
      <c r="AJ67" s="48">
        <v>1.0145999999999999</v>
      </c>
      <c r="AK67" s="49">
        <v>2.8199999999999999E-2</v>
      </c>
    </row>
    <row r="68" spans="1:37" x14ac:dyDescent="0.25">
      <c r="A68" s="79">
        <v>8</v>
      </c>
      <c r="B68" s="77" t="s">
        <v>36</v>
      </c>
      <c r="C68" s="77" t="s">
        <v>37</v>
      </c>
      <c r="D68" s="78" t="s">
        <v>133</v>
      </c>
      <c r="E68" s="75">
        <v>0</v>
      </c>
      <c r="F68" s="18">
        <v>64.5</v>
      </c>
      <c r="G68" s="18">
        <v>49.59</v>
      </c>
      <c r="H68" s="18">
        <v>19.61</v>
      </c>
      <c r="I68" s="114">
        <f t="shared" ref="I68:I73" si="1">100*(F68-G68)/(G68-H68)</f>
        <v>49.73</v>
      </c>
      <c r="J68" s="66">
        <v>738</v>
      </c>
      <c r="K68" s="66" t="s">
        <v>141</v>
      </c>
      <c r="L68" s="66" t="s">
        <v>141</v>
      </c>
      <c r="M68" s="66">
        <v>194</v>
      </c>
      <c r="N68" s="66" t="s">
        <v>141</v>
      </c>
      <c r="O68" s="66" t="s">
        <v>141</v>
      </c>
      <c r="P68" s="66">
        <v>68</v>
      </c>
      <c r="Q68" s="66" t="s">
        <v>141</v>
      </c>
      <c r="R68" s="66" t="s">
        <v>141</v>
      </c>
      <c r="S68" s="99" t="s">
        <v>141</v>
      </c>
      <c r="T68" s="36">
        <v>14.4</v>
      </c>
      <c r="U68" s="36">
        <v>117</v>
      </c>
      <c r="V68" s="36">
        <v>1.35</v>
      </c>
      <c r="W68" s="36" t="s">
        <v>141</v>
      </c>
      <c r="X68" s="36" t="s">
        <v>141</v>
      </c>
      <c r="Y68" s="36" t="s">
        <v>141</v>
      </c>
      <c r="Z68" s="36" t="s">
        <v>141</v>
      </c>
      <c r="AA68" s="36" t="s">
        <v>141</v>
      </c>
      <c r="AB68" s="36" t="s">
        <v>141</v>
      </c>
      <c r="AC68" s="36" t="s">
        <v>141</v>
      </c>
      <c r="AD68" s="110">
        <v>3.9300000000000002E-2</v>
      </c>
      <c r="AE68" s="118">
        <v>0.4</v>
      </c>
      <c r="AF68" s="110">
        <v>0</v>
      </c>
      <c r="AG68" s="123">
        <v>75.8</v>
      </c>
      <c r="AH68" s="123">
        <v>5.37</v>
      </c>
      <c r="AI68" s="124">
        <v>159.22999999999999</v>
      </c>
      <c r="AJ68" s="48">
        <v>1.0145999999999999</v>
      </c>
      <c r="AK68" s="49">
        <v>2.8199999999999999E-2</v>
      </c>
    </row>
    <row r="69" spans="1:37" x14ac:dyDescent="0.25">
      <c r="A69" s="79">
        <v>8</v>
      </c>
      <c r="B69" s="77" t="s">
        <v>36</v>
      </c>
      <c r="C69" s="77" t="s">
        <v>37</v>
      </c>
      <c r="D69" s="78" t="s">
        <v>134</v>
      </c>
      <c r="E69" s="75">
        <v>0</v>
      </c>
      <c r="F69" s="18">
        <v>63.02</v>
      </c>
      <c r="G69" s="18">
        <v>49.59</v>
      </c>
      <c r="H69" s="18">
        <v>19.61</v>
      </c>
      <c r="I69" s="114">
        <f t="shared" si="1"/>
        <v>44.8</v>
      </c>
      <c r="J69" s="66">
        <v>738</v>
      </c>
      <c r="K69" s="66" t="s">
        <v>141</v>
      </c>
      <c r="L69" s="66" t="s">
        <v>141</v>
      </c>
      <c r="M69" s="66">
        <v>194</v>
      </c>
      <c r="N69" s="66" t="s">
        <v>141</v>
      </c>
      <c r="O69" s="66" t="s">
        <v>141</v>
      </c>
      <c r="P69" s="66">
        <v>68</v>
      </c>
      <c r="Q69" s="66" t="s">
        <v>141</v>
      </c>
      <c r="R69" s="66" t="s">
        <v>141</v>
      </c>
      <c r="S69" s="99" t="s">
        <v>141</v>
      </c>
      <c r="T69" s="36">
        <v>14.4</v>
      </c>
      <c r="U69" s="36">
        <v>117</v>
      </c>
      <c r="V69" s="36">
        <v>1.35</v>
      </c>
      <c r="W69" s="36" t="s">
        <v>141</v>
      </c>
      <c r="X69" s="36" t="s">
        <v>141</v>
      </c>
      <c r="Y69" s="36" t="s">
        <v>141</v>
      </c>
      <c r="Z69" s="36" t="s">
        <v>141</v>
      </c>
      <c r="AA69" s="36" t="s">
        <v>141</v>
      </c>
      <c r="AB69" s="36" t="s">
        <v>141</v>
      </c>
      <c r="AC69" s="36" t="s">
        <v>141</v>
      </c>
      <c r="AD69" s="110">
        <v>3.5200000000000002E-2</v>
      </c>
      <c r="AE69" s="118">
        <v>0.39</v>
      </c>
      <c r="AF69" s="110">
        <v>0</v>
      </c>
      <c r="AG69" s="123">
        <v>75.8</v>
      </c>
      <c r="AH69" s="123">
        <v>5.37</v>
      </c>
      <c r="AI69" s="124">
        <v>159.22999999999999</v>
      </c>
      <c r="AJ69" s="48">
        <v>1.0145999999999999</v>
      </c>
      <c r="AK69" s="49">
        <v>2.8199999999999999E-2</v>
      </c>
    </row>
    <row r="70" spans="1:37" x14ac:dyDescent="0.25">
      <c r="A70" s="79">
        <v>8</v>
      </c>
      <c r="B70" s="77" t="s">
        <v>36</v>
      </c>
      <c r="C70" s="77" t="s">
        <v>37</v>
      </c>
      <c r="D70" s="78" t="s">
        <v>135</v>
      </c>
      <c r="E70" s="75">
        <v>0</v>
      </c>
      <c r="F70" s="18">
        <v>61.54</v>
      </c>
      <c r="G70" s="18">
        <v>49.59</v>
      </c>
      <c r="H70" s="18">
        <v>19.61</v>
      </c>
      <c r="I70" s="114">
        <f t="shared" si="1"/>
        <v>39.86</v>
      </c>
      <c r="J70" s="66">
        <v>738</v>
      </c>
      <c r="K70" s="66" t="s">
        <v>141</v>
      </c>
      <c r="L70" s="66" t="s">
        <v>141</v>
      </c>
      <c r="M70" s="66">
        <v>194</v>
      </c>
      <c r="N70" s="66" t="s">
        <v>141</v>
      </c>
      <c r="O70" s="66" t="s">
        <v>141</v>
      </c>
      <c r="P70" s="66">
        <v>68</v>
      </c>
      <c r="Q70" s="66" t="s">
        <v>141</v>
      </c>
      <c r="R70" s="66" t="s">
        <v>141</v>
      </c>
      <c r="S70" s="99" t="s">
        <v>141</v>
      </c>
      <c r="T70" s="36">
        <v>14.4</v>
      </c>
      <c r="U70" s="36">
        <v>117</v>
      </c>
      <c r="V70" s="36">
        <v>1.35</v>
      </c>
      <c r="W70" s="36" t="s">
        <v>141</v>
      </c>
      <c r="X70" s="36" t="s">
        <v>141</v>
      </c>
      <c r="Y70" s="36" t="s">
        <v>141</v>
      </c>
      <c r="Z70" s="36" t="s">
        <v>141</v>
      </c>
      <c r="AA70" s="36" t="s">
        <v>141</v>
      </c>
      <c r="AB70" s="36" t="s">
        <v>141</v>
      </c>
      <c r="AC70" s="36" t="s">
        <v>141</v>
      </c>
      <c r="AD70" s="110">
        <v>3.1E-2</v>
      </c>
      <c r="AE70" s="118">
        <v>0.37</v>
      </c>
      <c r="AF70" s="110">
        <v>0</v>
      </c>
      <c r="AG70" s="123">
        <v>75.8</v>
      </c>
      <c r="AH70" s="123">
        <v>5.37</v>
      </c>
      <c r="AI70" s="124">
        <v>159.22999999999999</v>
      </c>
      <c r="AJ70" s="48">
        <v>1.0145999999999999</v>
      </c>
      <c r="AK70" s="49">
        <v>2.8199999999999999E-2</v>
      </c>
    </row>
    <row r="71" spans="1:37" x14ac:dyDescent="0.25">
      <c r="A71" s="79">
        <v>8</v>
      </c>
      <c r="B71" s="77" t="s">
        <v>36</v>
      </c>
      <c r="C71" s="77" t="s">
        <v>37</v>
      </c>
      <c r="D71" s="78" t="s">
        <v>136</v>
      </c>
      <c r="E71" s="75">
        <v>0</v>
      </c>
      <c r="F71" s="18">
        <v>60.09</v>
      </c>
      <c r="G71" s="18">
        <v>49.59</v>
      </c>
      <c r="H71" s="18">
        <v>19.61</v>
      </c>
      <c r="I71" s="114">
        <f t="shared" si="1"/>
        <v>35.020000000000003</v>
      </c>
      <c r="J71" s="66">
        <v>738</v>
      </c>
      <c r="K71" s="66" t="s">
        <v>141</v>
      </c>
      <c r="L71" s="66" t="s">
        <v>141</v>
      </c>
      <c r="M71" s="66">
        <v>194</v>
      </c>
      <c r="N71" s="66" t="s">
        <v>141</v>
      </c>
      <c r="O71" s="66" t="s">
        <v>141</v>
      </c>
      <c r="P71" s="66">
        <v>68</v>
      </c>
      <c r="Q71" s="66" t="s">
        <v>141</v>
      </c>
      <c r="R71" s="66" t="s">
        <v>141</v>
      </c>
      <c r="S71" s="99" t="s">
        <v>141</v>
      </c>
      <c r="T71" s="36">
        <v>14.4</v>
      </c>
      <c r="U71" s="36">
        <v>117</v>
      </c>
      <c r="V71" s="36">
        <v>1.35</v>
      </c>
      <c r="W71" s="36" t="s">
        <v>141</v>
      </c>
      <c r="X71" s="36" t="s">
        <v>141</v>
      </c>
      <c r="Y71" s="36" t="s">
        <v>141</v>
      </c>
      <c r="Z71" s="36" t="s">
        <v>141</v>
      </c>
      <c r="AA71" s="36" t="s">
        <v>141</v>
      </c>
      <c r="AB71" s="36" t="s">
        <v>141</v>
      </c>
      <c r="AC71" s="36" t="s">
        <v>141</v>
      </c>
      <c r="AD71" s="110">
        <v>2.7400000000000001E-2</v>
      </c>
      <c r="AE71" s="118">
        <v>0.34</v>
      </c>
      <c r="AF71" s="110">
        <v>0</v>
      </c>
      <c r="AG71" s="123">
        <v>75.8</v>
      </c>
      <c r="AH71" s="123">
        <v>5.37</v>
      </c>
      <c r="AI71" s="124">
        <v>159.22999999999999</v>
      </c>
      <c r="AJ71" s="48">
        <v>1.0145999999999999</v>
      </c>
      <c r="AK71" s="49">
        <v>2.8199999999999999E-2</v>
      </c>
    </row>
    <row r="72" spans="1:37" x14ac:dyDescent="0.25">
      <c r="A72" s="79">
        <v>8</v>
      </c>
      <c r="B72" s="77" t="s">
        <v>36</v>
      </c>
      <c r="C72" s="77" t="s">
        <v>37</v>
      </c>
      <c r="D72" s="78" t="s">
        <v>137</v>
      </c>
      <c r="E72" s="75">
        <v>0</v>
      </c>
      <c r="F72" s="18">
        <v>55.95</v>
      </c>
      <c r="G72" s="18">
        <v>49.59</v>
      </c>
      <c r="H72" s="18">
        <v>19.61</v>
      </c>
      <c r="I72" s="114">
        <f t="shared" si="1"/>
        <v>21.21</v>
      </c>
      <c r="J72" s="66">
        <v>738</v>
      </c>
      <c r="K72" s="66" t="s">
        <v>141</v>
      </c>
      <c r="L72" s="66" t="s">
        <v>141</v>
      </c>
      <c r="M72" s="66">
        <v>194</v>
      </c>
      <c r="N72" s="66" t="s">
        <v>141</v>
      </c>
      <c r="O72" s="66" t="s">
        <v>141</v>
      </c>
      <c r="P72" s="66">
        <v>68</v>
      </c>
      <c r="Q72" s="66" t="s">
        <v>141</v>
      </c>
      <c r="R72" s="66" t="s">
        <v>141</v>
      </c>
      <c r="S72" s="99" t="s">
        <v>141</v>
      </c>
      <c r="T72" s="36">
        <v>14.4</v>
      </c>
      <c r="U72" s="36">
        <v>117</v>
      </c>
      <c r="V72" s="36">
        <v>1.35</v>
      </c>
      <c r="W72" s="36" t="s">
        <v>141</v>
      </c>
      <c r="X72" s="36" t="s">
        <v>141</v>
      </c>
      <c r="Y72" s="36" t="s">
        <v>141</v>
      </c>
      <c r="Z72" s="36" t="s">
        <v>141</v>
      </c>
      <c r="AA72" s="36" t="s">
        <v>141</v>
      </c>
      <c r="AB72" s="36" t="s">
        <v>141</v>
      </c>
      <c r="AC72" s="36" t="s">
        <v>141</v>
      </c>
      <c r="AD72" s="110">
        <v>1.2200000000000001E-2</v>
      </c>
      <c r="AE72" s="118">
        <v>0.33</v>
      </c>
      <c r="AF72" s="110">
        <v>0</v>
      </c>
      <c r="AG72" s="123">
        <v>75.8</v>
      </c>
      <c r="AH72" s="123">
        <v>5.37</v>
      </c>
      <c r="AI72" s="124">
        <v>159.22999999999999</v>
      </c>
      <c r="AJ72" s="48">
        <v>1.0145999999999999</v>
      </c>
      <c r="AK72" s="49">
        <v>2.8199999999999999E-2</v>
      </c>
    </row>
    <row r="73" spans="1:37" ht="15.75" thickBot="1" x14ac:dyDescent="0.3">
      <c r="A73" s="84">
        <v>8</v>
      </c>
      <c r="B73" s="85" t="s">
        <v>36</v>
      </c>
      <c r="C73" s="85" t="s">
        <v>37</v>
      </c>
      <c r="D73" s="86" t="s">
        <v>138</v>
      </c>
      <c r="E73" s="87">
        <v>0</v>
      </c>
      <c r="F73" s="89">
        <v>49.59</v>
      </c>
      <c r="G73" s="89">
        <v>49.59</v>
      </c>
      <c r="H73" s="89">
        <v>19.61</v>
      </c>
      <c r="I73" s="116">
        <f t="shared" si="1"/>
        <v>0</v>
      </c>
      <c r="J73" s="108">
        <v>738</v>
      </c>
      <c r="K73" s="108" t="s">
        <v>141</v>
      </c>
      <c r="L73" s="108" t="s">
        <v>141</v>
      </c>
      <c r="M73" s="108">
        <v>194</v>
      </c>
      <c r="N73" s="108" t="s">
        <v>141</v>
      </c>
      <c r="O73" s="108" t="s">
        <v>141</v>
      </c>
      <c r="P73" s="108">
        <v>68</v>
      </c>
      <c r="Q73" s="108" t="s">
        <v>141</v>
      </c>
      <c r="R73" s="108" t="s">
        <v>141</v>
      </c>
      <c r="S73" s="101" t="s">
        <v>141</v>
      </c>
      <c r="T73" s="41">
        <v>14.4</v>
      </c>
      <c r="U73" s="41">
        <v>117</v>
      </c>
      <c r="V73" s="41">
        <v>1.35</v>
      </c>
      <c r="W73" s="41" t="s">
        <v>141</v>
      </c>
      <c r="X73" s="41" t="s">
        <v>141</v>
      </c>
      <c r="Y73" s="41" t="s">
        <v>141</v>
      </c>
      <c r="Z73" s="41" t="s">
        <v>141</v>
      </c>
      <c r="AA73" s="41" t="s">
        <v>141</v>
      </c>
      <c r="AB73" s="41" t="s">
        <v>141</v>
      </c>
      <c r="AC73" s="41" t="s">
        <v>141</v>
      </c>
      <c r="AD73" s="112">
        <v>0</v>
      </c>
      <c r="AE73" s="120">
        <v>0</v>
      </c>
      <c r="AF73" s="112">
        <v>0</v>
      </c>
      <c r="AG73" s="127">
        <v>75.8</v>
      </c>
      <c r="AH73" s="127">
        <v>5.37</v>
      </c>
      <c r="AI73" s="128">
        <v>159.22999999999999</v>
      </c>
      <c r="AJ73" s="52">
        <v>1.0145999999999999</v>
      </c>
      <c r="AK73" s="53">
        <v>2.8199999999999999E-2</v>
      </c>
    </row>
    <row r="74" spans="1:37" x14ac:dyDescent="0.25"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37" x14ac:dyDescent="0.25"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1:37" x14ac:dyDescent="0.25"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37" x14ac:dyDescent="0.25"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37" x14ac:dyDescent="0.25"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37" x14ac:dyDescent="0.25"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37" x14ac:dyDescent="0.25"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6:16" x14ac:dyDescent="0.25"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6:16" x14ac:dyDescent="0.25"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6:16" x14ac:dyDescent="0.25"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6:16" x14ac:dyDescent="0.25"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6:16" x14ac:dyDescent="0.25"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6:16" x14ac:dyDescent="0.25"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6:16" x14ac:dyDescent="0.25"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6:16" x14ac:dyDescent="0.25"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6:16" x14ac:dyDescent="0.25"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6:16" x14ac:dyDescent="0.25"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6:16" x14ac:dyDescent="0.25"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6:16" x14ac:dyDescent="0.25"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6:16" x14ac:dyDescent="0.25"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6:16" x14ac:dyDescent="0.25"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6:16" x14ac:dyDescent="0.25"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6:16" x14ac:dyDescent="0.25"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6:16" x14ac:dyDescent="0.25"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6:16" x14ac:dyDescent="0.25"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6:16" x14ac:dyDescent="0.25"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spans="6:16" x14ac:dyDescent="0.25"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6:16" x14ac:dyDescent="0.25"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6:16" x14ac:dyDescent="0.25"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6:16" x14ac:dyDescent="0.25"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6:16" x14ac:dyDescent="0.25"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6:16" x14ac:dyDescent="0.25"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spans="6:16" x14ac:dyDescent="0.25"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spans="6:16" x14ac:dyDescent="0.25"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spans="6:16" x14ac:dyDescent="0.25"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spans="6:16" x14ac:dyDescent="0.25"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spans="6:16" x14ac:dyDescent="0.25"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spans="6:16" x14ac:dyDescent="0.25"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spans="6:16" x14ac:dyDescent="0.25"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spans="6:16" x14ac:dyDescent="0.25"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spans="6:16" x14ac:dyDescent="0.25"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spans="6:16" x14ac:dyDescent="0.25"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spans="6:16" x14ac:dyDescent="0.25"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spans="6:16" x14ac:dyDescent="0.25"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</row>
    <row r="118" spans="6:16" x14ac:dyDescent="0.25"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</row>
    <row r="119" spans="6:16" x14ac:dyDescent="0.25"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</row>
    <row r="120" spans="6:16" x14ac:dyDescent="0.25"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</row>
    <row r="121" spans="6:16" x14ac:dyDescent="0.25"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</row>
    <row r="122" spans="6:16" x14ac:dyDescent="0.25"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</row>
    <row r="123" spans="6:16" x14ac:dyDescent="0.25"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</row>
    <row r="124" spans="6:16" x14ac:dyDescent="0.25"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</row>
    <row r="125" spans="6:16" x14ac:dyDescent="0.25"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</row>
    <row r="126" spans="6:16" x14ac:dyDescent="0.25"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</row>
    <row r="127" spans="6:16" x14ac:dyDescent="0.25"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</row>
    <row r="128" spans="6:16" x14ac:dyDescent="0.25"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</row>
    <row r="129" spans="6:16" x14ac:dyDescent="0.25"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</row>
    <row r="130" spans="6:16" x14ac:dyDescent="0.25"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</row>
    <row r="131" spans="6:16" x14ac:dyDescent="0.25"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</row>
    <row r="132" spans="6:16" x14ac:dyDescent="0.25"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</row>
    <row r="133" spans="6:16" x14ac:dyDescent="0.25"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</row>
    <row r="134" spans="6:16" x14ac:dyDescent="0.25"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</row>
    <row r="135" spans="6:16" x14ac:dyDescent="0.25"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</row>
    <row r="136" spans="6:16" x14ac:dyDescent="0.25"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</row>
    <row r="137" spans="6:16" x14ac:dyDescent="0.25"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</row>
    <row r="138" spans="6:16" x14ac:dyDescent="0.25"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</row>
    <row r="139" spans="6:16" x14ac:dyDescent="0.25"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</row>
    <row r="140" spans="6:16" x14ac:dyDescent="0.25"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</row>
    <row r="141" spans="6:16" x14ac:dyDescent="0.25"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</row>
    <row r="142" spans="6:16" x14ac:dyDescent="0.25"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</row>
    <row r="143" spans="6:16" x14ac:dyDescent="0.25"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</row>
    <row r="144" spans="6:16" x14ac:dyDescent="0.25"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</row>
    <row r="145" spans="6:16" x14ac:dyDescent="0.25"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</row>
    <row r="146" spans="6:16" x14ac:dyDescent="0.25"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</row>
    <row r="147" spans="6:16" x14ac:dyDescent="0.25"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</row>
    <row r="148" spans="6:16" x14ac:dyDescent="0.25"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</row>
    <row r="149" spans="6:16" x14ac:dyDescent="0.25"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</row>
    <row r="150" spans="6:16" x14ac:dyDescent="0.25"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</row>
    <row r="151" spans="6:16" x14ac:dyDescent="0.25"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</row>
    <row r="152" spans="6:16" x14ac:dyDescent="0.25"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</row>
    <row r="153" spans="6:16" x14ac:dyDescent="0.25"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</row>
    <row r="154" spans="6:16" x14ac:dyDescent="0.25"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</row>
    <row r="155" spans="6:16" x14ac:dyDescent="0.25"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</row>
    <row r="156" spans="6:16" x14ac:dyDescent="0.25"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</row>
    <row r="157" spans="6:16" x14ac:dyDescent="0.25"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</row>
    <row r="158" spans="6:16" x14ac:dyDescent="0.25"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</row>
    <row r="159" spans="6:16" x14ac:dyDescent="0.25"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</row>
    <row r="160" spans="6:16" x14ac:dyDescent="0.25"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</row>
    <row r="161" spans="6:16" x14ac:dyDescent="0.25"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</row>
    <row r="162" spans="6:16" x14ac:dyDescent="0.25"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</row>
    <row r="163" spans="6:16" x14ac:dyDescent="0.25"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</row>
    <row r="164" spans="6:16" x14ac:dyDescent="0.25"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</row>
    <row r="165" spans="6:16" x14ac:dyDescent="0.25"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</row>
    <row r="166" spans="6:16" x14ac:dyDescent="0.25"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</row>
    <row r="167" spans="6:16" x14ac:dyDescent="0.25"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</row>
    <row r="168" spans="6:16" x14ac:dyDescent="0.25"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</row>
    <row r="169" spans="6:16" x14ac:dyDescent="0.25"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</row>
    <row r="170" spans="6:16" x14ac:dyDescent="0.25"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</row>
    <row r="171" spans="6:16" x14ac:dyDescent="0.25"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</row>
    <row r="172" spans="6:16" x14ac:dyDescent="0.25"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</row>
    <row r="173" spans="6:16" x14ac:dyDescent="0.25"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</row>
    <row r="174" spans="6:16" x14ac:dyDescent="0.25"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</row>
    <row r="175" spans="6:16" x14ac:dyDescent="0.25"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</row>
    <row r="176" spans="6:16" x14ac:dyDescent="0.25"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</row>
    <row r="177" spans="6:16" x14ac:dyDescent="0.25"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</row>
    <row r="178" spans="6:16" x14ac:dyDescent="0.25"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</row>
    <row r="179" spans="6:16" x14ac:dyDescent="0.25"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</row>
    <row r="180" spans="6:16" x14ac:dyDescent="0.25"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</row>
    <row r="181" spans="6:16" x14ac:dyDescent="0.25"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</row>
    <row r="182" spans="6:16" x14ac:dyDescent="0.25"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</row>
    <row r="183" spans="6:16" x14ac:dyDescent="0.25"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</row>
    <row r="184" spans="6:16" x14ac:dyDescent="0.25"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</row>
    <row r="185" spans="6:16" x14ac:dyDescent="0.25"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</row>
    <row r="186" spans="6:16" x14ac:dyDescent="0.25"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</row>
    <row r="187" spans="6:16" x14ac:dyDescent="0.25"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</row>
    <row r="188" spans="6:16" x14ac:dyDescent="0.25"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</row>
    <row r="189" spans="6:16" x14ac:dyDescent="0.25"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</row>
    <row r="190" spans="6:16" x14ac:dyDescent="0.25"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</row>
    <row r="191" spans="6:16" x14ac:dyDescent="0.25"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</row>
    <row r="192" spans="6:16" x14ac:dyDescent="0.25"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</row>
    <row r="193" spans="6:16" x14ac:dyDescent="0.25"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</row>
    <row r="194" spans="6:16" x14ac:dyDescent="0.25"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</row>
    <row r="195" spans="6:16" x14ac:dyDescent="0.25"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</row>
    <row r="196" spans="6:16" x14ac:dyDescent="0.25"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</row>
    <row r="197" spans="6:16" x14ac:dyDescent="0.25"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</row>
    <row r="198" spans="6:16" x14ac:dyDescent="0.25"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</row>
    <row r="199" spans="6:16" x14ac:dyDescent="0.25"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</row>
    <row r="200" spans="6:16" x14ac:dyDescent="0.25"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</row>
    <row r="201" spans="6:16" x14ac:dyDescent="0.25"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</row>
    <row r="202" spans="6:16" x14ac:dyDescent="0.25"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</row>
    <row r="203" spans="6:16" x14ac:dyDescent="0.25"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</row>
    <row r="204" spans="6:16" x14ac:dyDescent="0.25"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</row>
    <row r="205" spans="6:16" x14ac:dyDescent="0.25"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</row>
    <row r="206" spans="6:16" x14ac:dyDescent="0.25"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</row>
    <row r="207" spans="6:16" x14ac:dyDescent="0.25"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</row>
    <row r="208" spans="6:16" x14ac:dyDescent="0.25"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</row>
    <row r="209" spans="6:16" x14ac:dyDescent="0.25"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</row>
    <row r="210" spans="6:16" x14ac:dyDescent="0.25"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</row>
    <row r="211" spans="6:16" x14ac:dyDescent="0.25"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</row>
    <row r="212" spans="6:16" x14ac:dyDescent="0.25"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</row>
    <row r="213" spans="6:16" x14ac:dyDescent="0.25"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</row>
    <row r="214" spans="6:16" x14ac:dyDescent="0.25"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</row>
    <row r="215" spans="6:16" x14ac:dyDescent="0.25"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</row>
    <row r="216" spans="6:16" x14ac:dyDescent="0.25"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</row>
    <row r="217" spans="6:16" x14ac:dyDescent="0.25"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</row>
    <row r="218" spans="6:16" x14ac:dyDescent="0.25"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</row>
    <row r="219" spans="6:16" x14ac:dyDescent="0.25"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</row>
    <row r="220" spans="6:16" x14ac:dyDescent="0.25"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</row>
    <row r="221" spans="6:16" x14ac:dyDescent="0.25"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</row>
    <row r="222" spans="6:16" x14ac:dyDescent="0.25"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</row>
    <row r="223" spans="6:16" x14ac:dyDescent="0.25"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</row>
    <row r="224" spans="6:16" x14ac:dyDescent="0.25"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</row>
    <row r="225" spans="6:16" x14ac:dyDescent="0.25"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</row>
    <row r="226" spans="6:16" x14ac:dyDescent="0.25"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</row>
    <row r="227" spans="6:16" x14ac:dyDescent="0.25"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</row>
    <row r="228" spans="6:16" x14ac:dyDescent="0.25"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</row>
    <row r="229" spans="6:16" x14ac:dyDescent="0.25"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</row>
    <row r="230" spans="6:16" x14ac:dyDescent="0.25"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</row>
    <row r="231" spans="6:16" x14ac:dyDescent="0.25"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</row>
    <row r="232" spans="6:16" x14ac:dyDescent="0.25"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</row>
    <row r="233" spans="6:16" x14ac:dyDescent="0.25"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</row>
    <row r="234" spans="6:16" x14ac:dyDescent="0.25"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</row>
    <row r="235" spans="6:16" x14ac:dyDescent="0.25"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</row>
    <row r="236" spans="6:16" x14ac:dyDescent="0.25"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</row>
    <row r="237" spans="6:16" x14ac:dyDescent="0.25"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</row>
    <row r="238" spans="6:16" x14ac:dyDescent="0.25"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</row>
    <row r="239" spans="6:16" x14ac:dyDescent="0.25"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</row>
    <row r="240" spans="6:16" x14ac:dyDescent="0.25"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</row>
    <row r="241" spans="6:16" x14ac:dyDescent="0.25"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</row>
    <row r="242" spans="6:16" x14ac:dyDescent="0.25"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</row>
    <row r="243" spans="6:16" x14ac:dyDescent="0.25"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</row>
    <row r="244" spans="6:16" x14ac:dyDescent="0.25"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</row>
    <row r="245" spans="6:16" x14ac:dyDescent="0.25"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</row>
    <row r="246" spans="6:16" x14ac:dyDescent="0.25"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</row>
    <row r="247" spans="6:16" x14ac:dyDescent="0.25"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</row>
    <row r="248" spans="6:16" x14ac:dyDescent="0.25"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</row>
    <row r="249" spans="6:16" x14ac:dyDescent="0.25"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</row>
    <row r="250" spans="6:16" x14ac:dyDescent="0.25"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</row>
    <row r="251" spans="6:16" x14ac:dyDescent="0.25"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</row>
    <row r="252" spans="6:16" x14ac:dyDescent="0.25"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</row>
    <row r="253" spans="6:16" x14ac:dyDescent="0.25"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</row>
    <row r="254" spans="6:16" x14ac:dyDescent="0.25"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</row>
    <row r="255" spans="6:16" x14ac:dyDescent="0.25"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</row>
    <row r="256" spans="6:16" x14ac:dyDescent="0.25"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</row>
    <row r="257" spans="6:16" x14ac:dyDescent="0.25"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</row>
    <row r="258" spans="6:16" x14ac:dyDescent="0.25"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</row>
    <row r="259" spans="6:16" x14ac:dyDescent="0.25"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</row>
    <row r="260" spans="6:16" x14ac:dyDescent="0.25"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</row>
    <row r="261" spans="6:16" x14ac:dyDescent="0.25"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</row>
    <row r="262" spans="6:16" x14ac:dyDescent="0.25"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</row>
    <row r="263" spans="6:16" x14ac:dyDescent="0.25"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</row>
    <row r="264" spans="6:16" x14ac:dyDescent="0.25"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</row>
    <row r="265" spans="6:16" x14ac:dyDescent="0.25"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</row>
    <row r="266" spans="6:16" x14ac:dyDescent="0.25"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</row>
    <row r="267" spans="6:16" x14ac:dyDescent="0.25"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</row>
    <row r="268" spans="6:16" x14ac:dyDescent="0.25"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</row>
    <row r="269" spans="6:16" x14ac:dyDescent="0.25"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</row>
    <row r="270" spans="6:16" x14ac:dyDescent="0.25"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</row>
    <row r="271" spans="6:16" x14ac:dyDescent="0.25"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</row>
    <row r="272" spans="6:16" x14ac:dyDescent="0.25"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</row>
    <row r="273" spans="6:16" x14ac:dyDescent="0.25"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</row>
    <row r="274" spans="6:16" x14ac:dyDescent="0.25"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</row>
    <row r="275" spans="6:16" x14ac:dyDescent="0.25"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</row>
    <row r="276" spans="6:16" x14ac:dyDescent="0.25"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</row>
    <row r="277" spans="6:16" x14ac:dyDescent="0.25"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</row>
    <row r="278" spans="6:16" x14ac:dyDescent="0.25"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</row>
    <row r="279" spans="6:16" x14ac:dyDescent="0.25"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</row>
    <row r="280" spans="6:16" x14ac:dyDescent="0.25"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</row>
    <row r="281" spans="6:16" x14ac:dyDescent="0.25"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</row>
    <row r="282" spans="6:16" x14ac:dyDescent="0.25"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</row>
    <row r="283" spans="6:16" x14ac:dyDescent="0.25"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</row>
    <row r="284" spans="6:16" x14ac:dyDescent="0.25"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</row>
    <row r="285" spans="6:16" x14ac:dyDescent="0.25"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</row>
    <row r="286" spans="6:16" x14ac:dyDescent="0.25"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</row>
    <row r="287" spans="6:16" x14ac:dyDescent="0.25"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</row>
    <row r="288" spans="6:16" x14ac:dyDescent="0.25"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</row>
    <row r="289" spans="6:16" x14ac:dyDescent="0.25"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</row>
    <row r="290" spans="6:16" x14ac:dyDescent="0.25"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</row>
    <row r="291" spans="6:16" x14ac:dyDescent="0.25"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</row>
    <row r="292" spans="6:16" x14ac:dyDescent="0.25"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</row>
    <row r="293" spans="6:16" x14ac:dyDescent="0.25"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</row>
    <row r="294" spans="6:16" x14ac:dyDescent="0.25"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</row>
    <row r="295" spans="6:16" x14ac:dyDescent="0.25"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</row>
    <row r="296" spans="6:16" x14ac:dyDescent="0.25"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</row>
    <row r="297" spans="6:16" x14ac:dyDescent="0.25"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</row>
    <row r="298" spans="6:16" x14ac:dyDescent="0.25"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</row>
    <row r="299" spans="6:16" x14ac:dyDescent="0.25"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</row>
    <row r="300" spans="6:16" x14ac:dyDescent="0.25"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</row>
    <row r="301" spans="6:16" x14ac:dyDescent="0.25"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</row>
    <row r="302" spans="6:16" x14ac:dyDescent="0.25"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</row>
    <row r="303" spans="6:16" x14ac:dyDescent="0.25"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</row>
    <row r="304" spans="6:16" x14ac:dyDescent="0.25"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</row>
    <row r="305" spans="6:16" x14ac:dyDescent="0.25"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</row>
    <row r="306" spans="6:16" x14ac:dyDescent="0.25"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</row>
    <row r="307" spans="6:16" x14ac:dyDescent="0.25"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</row>
    <row r="308" spans="6:16" x14ac:dyDescent="0.25"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</row>
    <row r="309" spans="6:16" x14ac:dyDescent="0.25"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</row>
    <row r="310" spans="6:16" x14ac:dyDescent="0.25"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</row>
    <row r="311" spans="6:16" x14ac:dyDescent="0.25"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</row>
    <row r="312" spans="6:16" x14ac:dyDescent="0.25"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</row>
    <row r="313" spans="6:16" x14ac:dyDescent="0.25"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</row>
    <row r="314" spans="6:16" x14ac:dyDescent="0.25"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</row>
    <row r="315" spans="6:16" x14ac:dyDescent="0.25"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</row>
    <row r="316" spans="6:16" x14ac:dyDescent="0.25"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</row>
    <row r="317" spans="6:16" x14ac:dyDescent="0.25"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</row>
    <row r="318" spans="6:16" x14ac:dyDescent="0.25"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</row>
    <row r="319" spans="6:16" x14ac:dyDescent="0.25"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</row>
    <row r="320" spans="6:16" x14ac:dyDescent="0.25"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</row>
    <row r="321" spans="6:16" x14ac:dyDescent="0.25"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</row>
    <row r="322" spans="6:16" x14ac:dyDescent="0.25"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</row>
    <row r="323" spans="6:16" x14ac:dyDescent="0.25"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</row>
    <row r="324" spans="6:16" x14ac:dyDescent="0.25"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</row>
    <row r="325" spans="6:16" x14ac:dyDescent="0.25"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</row>
    <row r="326" spans="6:16" x14ac:dyDescent="0.25"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</row>
    <row r="327" spans="6:16" x14ac:dyDescent="0.25"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</row>
    <row r="328" spans="6:16" x14ac:dyDescent="0.25"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</row>
    <row r="329" spans="6:16" x14ac:dyDescent="0.25"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</row>
    <row r="330" spans="6:16" x14ac:dyDescent="0.25"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</row>
    <row r="331" spans="6:16" x14ac:dyDescent="0.25"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</row>
    <row r="332" spans="6:16" x14ac:dyDescent="0.25"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</row>
    <row r="333" spans="6:16" x14ac:dyDescent="0.25"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</row>
    <row r="334" spans="6:16" x14ac:dyDescent="0.25"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</row>
    <row r="335" spans="6:16" x14ac:dyDescent="0.25"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</row>
    <row r="336" spans="6:16" x14ac:dyDescent="0.25"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</row>
    <row r="337" spans="6:16" x14ac:dyDescent="0.25"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</row>
    <row r="338" spans="6:16" x14ac:dyDescent="0.25"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</row>
    <row r="339" spans="6:16" x14ac:dyDescent="0.25"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</row>
    <row r="340" spans="6:16" x14ac:dyDescent="0.25"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</row>
    <row r="341" spans="6:16" x14ac:dyDescent="0.25"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</row>
    <row r="342" spans="6:16" x14ac:dyDescent="0.25"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</row>
    <row r="343" spans="6:16" x14ac:dyDescent="0.25"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</row>
    <row r="344" spans="6:16" x14ac:dyDescent="0.25"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</row>
    <row r="345" spans="6:16" x14ac:dyDescent="0.25"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</row>
    <row r="346" spans="6:16" x14ac:dyDescent="0.25"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</row>
    <row r="347" spans="6:16" x14ac:dyDescent="0.25"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</row>
    <row r="348" spans="6:16" x14ac:dyDescent="0.25"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</row>
    <row r="349" spans="6:16" x14ac:dyDescent="0.25"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</row>
    <row r="350" spans="6:16" x14ac:dyDescent="0.25"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</row>
    <row r="351" spans="6:16" x14ac:dyDescent="0.25"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</row>
    <row r="352" spans="6:16" x14ac:dyDescent="0.25"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</row>
    <row r="353" spans="6:16" x14ac:dyDescent="0.25"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</row>
    <row r="354" spans="6:16" x14ac:dyDescent="0.25"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</row>
    <row r="355" spans="6:16" x14ac:dyDescent="0.25"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</row>
    <row r="356" spans="6:16" x14ac:dyDescent="0.25"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</row>
    <row r="357" spans="6:16" x14ac:dyDescent="0.25"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</row>
    <row r="358" spans="6:16" x14ac:dyDescent="0.25"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</row>
    <row r="359" spans="6:16" x14ac:dyDescent="0.25"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</row>
    <row r="360" spans="6:16" x14ac:dyDescent="0.25"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</row>
    <row r="361" spans="6:16" x14ac:dyDescent="0.25"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</row>
    <row r="362" spans="6:16" x14ac:dyDescent="0.25"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</row>
    <row r="363" spans="6:16" x14ac:dyDescent="0.25"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</row>
    <row r="364" spans="6:16" x14ac:dyDescent="0.25"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</row>
    <row r="365" spans="6:16" x14ac:dyDescent="0.25"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</row>
    <row r="366" spans="6:16" x14ac:dyDescent="0.25"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</row>
    <row r="367" spans="6:16" x14ac:dyDescent="0.25"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</row>
    <row r="368" spans="6:16" x14ac:dyDescent="0.25"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</row>
    <row r="369" spans="6:16" x14ac:dyDescent="0.25"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</row>
    <row r="370" spans="6:16" x14ac:dyDescent="0.25"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</row>
    <row r="371" spans="6:16" x14ac:dyDescent="0.25"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</row>
    <row r="372" spans="6:16" x14ac:dyDescent="0.25"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</row>
    <row r="373" spans="6:16" x14ac:dyDescent="0.25"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</row>
    <row r="374" spans="6:16" x14ac:dyDescent="0.25"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</row>
    <row r="375" spans="6:16" x14ac:dyDescent="0.25"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</row>
    <row r="376" spans="6:16" x14ac:dyDescent="0.25"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</row>
    <row r="377" spans="6:16" x14ac:dyDescent="0.25"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</row>
    <row r="378" spans="6:16" x14ac:dyDescent="0.25"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</row>
    <row r="379" spans="6:16" x14ac:dyDescent="0.25"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</row>
    <row r="380" spans="6:16" x14ac:dyDescent="0.25"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</row>
    <row r="381" spans="6:16" x14ac:dyDescent="0.25"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</row>
    <row r="382" spans="6:16" x14ac:dyDescent="0.25"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</row>
    <row r="383" spans="6:16" x14ac:dyDescent="0.25"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</row>
    <row r="384" spans="6:16" x14ac:dyDescent="0.25"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</row>
    <row r="385" spans="6:16" x14ac:dyDescent="0.25"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</row>
    <row r="386" spans="6:16" x14ac:dyDescent="0.25"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</row>
    <row r="387" spans="6:16" x14ac:dyDescent="0.25"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</row>
    <row r="388" spans="6:16" x14ac:dyDescent="0.25"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</row>
    <row r="389" spans="6:16" x14ac:dyDescent="0.25"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</row>
    <row r="390" spans="6:16" x14ac:dyDescent="0.25"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</row>
    <row r="391" spans="6:16" x14ac:dyDescent="0.25"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</row>
    <row r="392" spans="6:16" x14ac:dyDescent="0.25"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</row>
    <row r="393" spans="6:16" x14ac:dyDescent="0.25"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</row>
    <row r="394" spans="6:16" x14ac:dyDescent="0.25"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</row>
    <row r="395" spans="6:16" x14ac:dyDescent="0.25"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</row>
    <row r="396" spans="6:16" x14ac:dyDescent="0.25"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</row>
    <row r="397" spans="6:16" x14ac:dyDescent="0.25"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</row>
    <row r="398" spans="6:16" x14ac:dyDescent="0.25"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</row>
    <row r="399" spans="6:16" x14ac:dyDescent="0.25"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</row>
    <row r="400" spans="6:16" x14ac:dyDescent="0.25"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</row>
    <row r="401" spans="6:16" x14ac:dyDescent="0.25"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</row>
    <row r="402" spans="6:16" x14ac:dyDescent="0.25"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</row>
    <row r="403" spans="6:16" x14ac:dyDescent="0.25"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</row>
    <row r="404" spans="6:16" x14ac:dyDescent="0.25"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</row>
    <row r="405" spans="6:16" x14ac:dyDescent="0.25"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</row>
    <row r="406" spans="6:16" x14ac:dyDescent="0.25"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</row>
    <row r="407" spans="6:16" x14ac:dyDescent="0.25"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</row>
    <row r="408" spans="6:16" x14ac:dyDescent="0.25"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</row>
    <row r="409" spans="6:16" x14ac:dyDescent="0.25"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</row>
    <row r="410" spans="6:16" x14ac:dyDescent="0.25"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</row>
    <row r="411" spans="6:16" x14ac:dyDescent="0.25"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</row>
    <row r="412" spans="6:16" x14ac:dyDescent="0.25"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</row>
    <row r="413" spans="6:16" x14ac:dyDescent="0.25"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</row>
    <row r="414" spans="6:16" x14ac:dyDescent="0.25"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</row>
    <row r="415" spans="6:16" x14ac:dyDescent="0.25"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</row>
    <row r="416" spans="6:16" x14ac:dyDescent="0.25"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</row>
    <row r="417" spans="6:16" x14ac:dyDescent="0.25"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</row>
    <row r="418" spans="6:16" x14ac:dyDescent="0.25"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</row>
    <row r="419" spans="6:16" x14ac:dyDescent="0.25"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</row>
    <row r="420" spans="6:16" x14ac:dyDescent="0.25"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</row>
    <row r="421" spans="6:16" x14ac:dyDescent="0.25"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</row>
    <row r="422" spans="6:16" x14ac:dyDescent="0.25"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</row>
    <row r="423" spans="6:16" x14ac:dyDescent="0.25"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</row>
    <row r="424" spans="6:16" x14ac:dyDescent="0.25"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</row>
    <row r="425" spans="6:16" x14ac:dyDescent="0.25"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</row>
    <row r="426" spans="6:16" x14ac:dyDescent="0.25"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</row>
    <row r="427" spans="6:16" x14ac:dyDescent="0.25"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</row>
    <row r="428" spans="6:16" x14ac:dyDescent="0.25"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</row>
    <row r="429" spans="6:16" x14ac:dyDescent="0.25"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</row>
    <row r="430" spans="6:16" x14ac:dyDescent="0.25"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</row>
    <row r="431" spans="6:16" x14ac:dyDescent="0.25"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</row>
    <row r="432" spans="6:16" x14ac:dyDescent="0.25"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</row>
    <row r="433" spans="6:16" x14ac:dyDescent="0.25"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</row>
    <row r="434" spans="6:16" x14ac:dyDescent="0.25"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</row>
    <row r="435" spans="6:16" x14ac:dyDescent="0.25"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</row>
    <row r="436" spans="6:16" x14ac:dyDescent="0.25"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</row>
    <row r="437" spans="6:16" x14ac:dyDescent="0.25"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</row>
    <row r="438" spans="6:16" x14ac:dyDescent="0.25"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</row>
    <row r="439" spans="6:16" x14ac:dyDescent="0.25"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</row>
    <row r="440" spans="6:16" x14ac:dyDescent="0.25"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</row>
    <row r="441" spans="6:16" x14ac:dyDescent="0.25"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</row>
    <row r="442" spans="6:16" x14ac:dyDescent="0.25"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</row>
    <row r="443" spans="6:16" x14ac:dyDescent="0.25"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</row>
    <row r="444" spans="6:16" x14ac:dyDescent="0.25"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</row>
    <row r="445" spans="6:16" x14ac:dyDescent="0.25"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</row>
    <row r="446" spans="6:16" x14ac:dyDescent="0.25"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</row>
    <row r="447" spans="6:16" x14ac:dyDescent="0.25"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</row>
    <row r="448" spans="6:16" x14ac:dyDescent="0.25"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</row>
    <row r="449" spans="6:16" x14ac:dyDescent="0.25"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</row>
    <row r="450" spans="6:16" x14ac:dyDescent="0.25"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</row>
    <row r="451" spans="6:16" x14ac:dyDescent="0.25"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</row>
    <row r="452" spans="6:16" x14ac:dyDescent="0.25"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</row>
    <row r="453" spans="6:16" x14ac:dyDescent="0.25"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</row>
    <row r="454" spans="6:16" x14ac:dyDescent="0.25"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</row>
    <row r="455" spans="6:16" x14ac:dyDescent="0.25"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</row>
    <row r="456" spans="6:16" x14ac:dyDescent="0.25"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</row>
    <row r="457" spans="6:16" x14ac:dyDescent="0.25"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</row>
    <row r="458" spans="6:16" x14ac:dyDescent="0.25"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</row>
    <row r="459" spans="6:16" x14ac:dyDescent="0.25"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</row>
    <row r="460" spans="6:16" x14ac:dyDescent="0.25"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</row>
    <row r="461" spans="6:16" x14ac:dyDescent="0.25"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</row>
    <row r="462" spans="6:16" x14ac:dyDescent="0.25"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</row>
    <row r="463" spans="6:16" x14ac:dyDescent="0.25"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</row>
    <row r="464" spans="6:16" x14ac:dyDescent="0.25"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</row>
    <row r="465" spans="6:16" x14ac:dyDescent="0.25"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</row>
    <row r="466" spans="6:16" x14ac:dyDescent="0.25"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</row>
    <row r="467" spans="6:16" x14ac:dyDescent="0.25"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</row>
    <row r="468" spans="6:16" x14ac:dyDescent="0.25"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</row>
    <row r="469" spans="6:16" x14ac:dyDescent="0.25"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</row>
    <row r="470" spans="6:16" x14ac:dyDescent="0.25"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</row>
    <row r="471" spans="6:16" x14ac:dyDescent="0.25"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</row>
    <row r="472" spans="6:16" x14ac:dyDescent="0.25"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</row>
    <row r="473" spans="6:16" x14ac:dyDescent="0.25"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</row>
    <row r="474" spans="6:16" x14ac:dyDescent="0.25"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</row>
    <row r="475" spans="6:16" x14ac:dyDescent="0.25"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</row>
    <row r="476" spans="6:16" x14ac:dyDescent="0.25"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</row>
    <row r="477" spans="6:16" x14ac:dyDescent="0.25"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</row>
    <row r="478" spans="6:16" x14ac:dyDescent="0.25"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</row>
    <row r="479" spans="6:16" x14ac:dyDescent="0.25"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</row>
    <row r="480" spans="6:16" x14ac:dyDescent="0.25"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</row>
    <row r="481" spans="6:16" x14ac:dyDescent="0.25"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</row>
    <row r="482" spans="6:16" x14ac:dyDescent="0.25"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</row>
    <row r="483" spans="6:16" x14ac:dyDescent="0.25"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</row>
    <row r="484" spans="6:16" x14ac:dyDescent="0.25"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</row>
    <row r="485" spans="6:16" x14ac:dyDescent="0.25"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</row>
    <row r="486" spans="6:16" x14ac:dyDescent="0.25"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</row>
    <row r="487" spans="6:16" x14ac:dyDescent="0.25"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</row>
    <row r="488" spans="6:16" x14ac:dyDescent="0.25"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</row>
    <row r="489" spans="6:16" x14ac:dyDescent="0.25"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</row>
    <row r="490" spans="6:16" x14ac:dyDescent="0.25"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</row>
    <row r="491" spans="6:16" x14ac:dyDescent="0.25"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</row>
    <row r="492" spans="6:16" x14ac:dyDescent="0.25"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</row>
    <row r="493" spans="6:16" x14ac:dyDescent="0.25"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</row>
    <row r="494" spans="6:16" x14ac:dyDescent="0.25"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</row>
    <row r="495" spans="6:16" x14ac:dyDescent="0.25"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</row>
    <row r="496" spans="6:16" x14ac:dyDescent="0.25"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</row>
    <row r="497" spans="6:16" x14ac:dyDescent="0.25"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</row>
    <row r="498" spans="6:16" x14ac:dyDescent="0.25"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</row>
    <row r="499" spans="6:16" x14ac:dyDescent="0.25"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</row>
    <row r="500" spans="6:16" x14ac:dyDescent="0.25"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</row>
    <row r="501" spans="6:16" x14ac:dyDescent="0.25"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</row>
    <row r="502" spans="6:16" x14ac:dyDescent="0.25"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</row>
    <row r="503" spans="6:16" x14ac:dyDescent="0.25"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</row>
    <row r="504" spans="6:16" x14ac:dyDescent="0.25"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</row>
    <row r="505" spans="6:16" x14ac:dyDescent="0.25"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</row>
    <row r="506" spans="6:16" x14ac:dyDescent="0.25"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</row>
    <row r="507" spans="6:16" x14ac:dyDescent="0.25"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</row>
    <row r="508" spans="6:16" x14ac:dyDescent="0.25"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</row>
    <row r="509" spans="6:16" x14ac:dyDescent="0.25"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</row>
    <row r="510" spans="6:16" x14ac:dyDescent="0.25"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</row>
    <row r="511" spans="6:16" x14ac:dyDescent="0.25"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</row>
    <row r="512" spans="6:16" x14ac:dyDescent="0.25"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</row>
    <row r="513" spans="6:16" x14ac:dyDescent="0.25"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</row>
    <row r="514" spans="6:16" x14ac:dyDescent="0.25"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</row>
    <row r="515" spans="6:16" x14ac:dyDescent="0.25"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</row>
    <row r="516" spans="6:16" x14ac:dyDescent="0.25"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</row>
    <row r="517" spans="6:16" x14ac:dyDescent="0.25"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</row>
    <row r="518" spans="6:16" x14ac:dyDescent="0.25"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</row>
    <row r="519" spans="6:16" x14ac:dyDescent="0.25"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</row>
    <row r="520" spans="6:16" x14ac:dyDescent="0.25"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</row>
    <row r="521" spans="6:16" x14ac:dyDescent="0.25"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</row>
    <row r="522" spans="6:16" x14ac:dyDescent="0.25"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</row>
    <row r="523" spans="6:16" x14ac:dyDescent="0.25"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</row>
    <row r="524" spans="6:16" x14ac:dyDescent="0.25"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</row>
    <row r="525" spans="6:16" x14ac:dyDescent="0.25"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</row>
    <row r="526" spans="6:16" x14ac:dyDescent="0.25"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</row>
    <row r="527" spans="6:16" x14ac:dyDescent="0.25"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</row>
    <row r="528" spans="6:16" x14ac:dyDescent="0.25"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</row>
    <row r="529" spans="6:16" x14ac:dyDescent="0.25"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</row>
    <row r="530" spans="6:16" x14ac:dyDescent="0.25"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</row>
    <row r="531" spans="6:16" x14ac:dyDescent="0.25"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</row>
    <row r="532" spans="6:16" x14ac:dyDescent="0.25"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</row>
    <row r="533" spans="6:16" x14ac:dyDescent="0.25"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</row>
    <row r="534" spans="6:16" x14ac:dyDescent="0.25"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</row>
    <row r="535" spans="6:16" x14ac:dyDescent="0.25"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</row>
    <row r="536" spans="6:16" x14ac:dyDescent="0.25"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</row>
    <row r="537" spans="6:16" x14ac:dyDescent="0.25"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</row>
    <row r="538" spans="6:16" x14ac:dyDescent="0.25"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</row>
    <row r="539" spans="6:16" x14ac:dyDescent="0.25"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</row>
    <row r="540" spans="6:16" x14ac:dyDescent="0.25"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</row>
    <row r="541" spans="6:16" x14ac:dyDescent="0.25"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</row>
    <row r="542" spans="6:16" x14ac:dyDescent="0.25"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</row>
    <row r="543" spans="6:16" x14ac:dyDescent="0.25"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</row>
    <row r="544" spans="6:16" x14ac:dyDescent="0.25"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</row>
    <row r="545" spans="6:16" x14ac:dyDescent="0.25"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</row>
    <row r="546" spans="6:16" x14ac:dyDescent="0.25"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</row>
    <row r="547" spans="6:16" x14ac:dyDescent="0.25"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</row>
    <row r="548" spans="6:16" x14ac:dyDescent="0.25"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</row>
    <row r="549" spans="6:16" x14ac:dyDescent="0.25"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</row>
    <row r="550" spans="6:16" x14ac:dyDescent="0.25"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</row>
    <row r="551" spans="6:16" x14ac:dyDescent="0.25"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</row>
    <row r="552" spans="6:16" x14ac:dyDescent="0.25"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</row>
    <row r="553" spans="6:16" x14ac:dyDescent="0.25"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</row>
    <row r="554" spans="6:16" x14ac:dyDescent="0.25"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</row>
    <row r="555" spans="6:16" x14ac:dyDescent="0.25"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</row>
    <row r="556" spans="6:16" x14ac:dyDescent="0.25"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</row>
    <row r="557" spans="6:16" x14ac:dyDescent="0.25"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</row>
    <row r="558" spans="6:16" x14ac:dyDescent="0.25"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</row>
    <row r="559" spans="6:16" x14ac:dyDescent="0.25"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</row>
    <row r="560" spans="6:16" x14ac:dyDescent="0.25"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</row>
    <row r="561" spans="6:16" x14ac:dyDescent="0.25"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</row>
    <row r="562" spans="6:16" x14ac:dyDescent="0.25"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</row>
    <row r="563" spans="6:16" x14ac:dyDescent="0.25"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</row>
    <row r="564" spans="6:16" x14ac:dyDescent="0.25"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</row>
    <row r="565" spans="6:16" x14ac:dyDescent="0.25"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</row>
    <row r="566" spans="6:16" x14ac:dyDescent="0.25"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</row>
    <row r="567" spans="6:16" x14ac:dyDescent="0.25"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</row>
    <row r="568" spans="6:16" x14ac:dyDescent="0.25"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</row>
    <row r="569" spans="6:16" x14ac:dyDescent="0.25"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</row>
    <row r="570" spans="6:16" x14ac:dyDescent="0.25"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</row>
    <row r="571" spans="6:16" x14ac:dyDescent="0.25"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</row>
    <row r="572" spans="6:16" x14ac:dyDescent="0.25"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</row>
    <row r="573" spans="6:16" x14ac:dyDescent="0.25"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</row>
    <row r="574" spans="6:16" x14ac:dyDescent="0.25"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</row>
    <row r="575" spans="6:16" x14ac:dyDescent="0.25"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</row>
    <row r="576" spans="6:16" x14ac:dyDescent="0.25"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</row>
    <row r="577" spans="6:16" x14ac:dyDescent="0.25"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</row>
    <row r="578" spans="6:16" x14ac:dyDescent="0.25"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</row>
    <row r="579" spans="6:16" x14ac:dyDescent="0.25"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</row>
    <row r="580" spans="6:16" x14ac:dyDescent="0.25"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</row>
    <row r="581" spans="6:16" x14ac:dyDescent="0.25"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</row>
    <row r="582" spans="6:16" x14ac:dyDescent="0.25"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</row>
    <row r="583" spans="6:16" x14ac:dyDescent="0.25"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</row>
    <row r="584" spans="6:16" x14ac:dyDescent="0.25"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</row>
    <row r="585" spans="6:16" x14ac:dyDescent="0.25"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</row>
    <row r="586" spans="6:16" x14ac:dyDescent="0.25"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</row>
    <row r="587" spans="6:16" x14ac:dyDescent="0.25"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</row>
    <row r="588" spans="6:16" x14ac:dyDescent="0.25"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</row>
    <row r="589" spans="6:16" x14ac:dyDescent="0.25"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</row>
    <row r="590" spans="6:16" x14ac:dyDescent="0.25"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</row>
    <row r="591" spans="6:16" x14ac:dyDescent="0.25"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</row>
    <row r="592" spans="6:16" x14ac:dyDescent="0.25"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</row>
    <row r="593" spans="6:16" x14ac:dyDescent="0.25"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</row>
    <row r="594" spans="6:16" x14ac:dyDescent="0.25"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</row>
    <row r="595" spans="6:16" x14ac:dyDescent="0.25"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</row>
    <row r="596" spans="6:16" x14ac:dyDescent="0.25"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</row>
    <row r="597" spans="6:16" x14ac:dyDescent="0.25"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</row>
    <row r="598" spans="6:16" x14ac:dyDescent="0.25"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</row>
    <row r="599" spans="6:16" x14ac:dyDescent="0.25"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</row>
    <row r="600" spans="6:16" x14ac:dyDescent="0.25"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</row>
    <row r="601" spans="6:16" x14ac:dyDescent="0.25"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</row>
    <row r="602" spans="6:16" x14ac:dyDescent="0.25"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</row>
    <row r="603" spans="6:16" x14ac:dyDescent="0.25"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</row>
    <row r="604" spans="6:16" x14ac:dyDescent="0.25"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</row>
    <row r="605" spans="6:16" x14ac:dyDescent="0.25"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</row>
    <row r="606" spans="6:16" x14ac:dyDescent="0.25"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</row>
    <row r="607" spans="6:16" x14ac:dyDescent="0.25"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</row>
    <row r="608" spans="6:16" x14ac:dyDescent="0.25"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</row>
    <row r="609" spans="6:16" x14ac:dyDescent="0.25"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</row>
    <row r="610" spans="6:16" x14ac:dyDescent="0.25"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</row>
    <row r="611" spans="6:16" x14ac:dyDescent="0.25"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</row>
    <row r="612" spans="6:16" x14ac:dyDescent="0.25"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</row>
    <row r="613" spans="6:16" x14ac:dyDescent="0.25"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</row>
    <row r="614" spans="6:16" x14ac:dyDescent="0.25"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</row>
    <row r="615" spans="6:16" x14ac:dyDescent="0.25"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</row>
    <row r="616" spans="6:16" x14ac:dyDescent="0.25"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</row>
    <row r="617" spans="6:16" x14ac:dyDescent="0.25"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</row>
    <row r="618" spans="6:16" x14ac:dyDescent="0.25"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</row>
    <row r="619" spans="6:16" x14ac:dyDescent="0.25"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</row>
    <row r="620" spans="6:16" x14ac:dyDescent="0.25"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</row>
    <row r="621" spans="6:16" x14ac:dyDescent="0.25"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</row>
    <row r="622" spans="6:16" x14ac:dyDescent="0.25"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</row>
    <row r="623" spans="6:16" x14ac:dyDescent="0.25"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</row>
    <row r="624" spans="6:16" x14ac:dyDescent="0.25"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</row>
    <row r="625" spans="6:16" x14ac:dyDescent="0.25"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</row>
    <row r="626" spans="6:16" x14ac:dyDescent="0.25"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</row>
    <row r="627" spans="6:16" x14ac:dyDescent="0.25"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</row>
    <row r="628" spans="6:16" x14ac:dyDescent="0.25"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</row>
    <row r="629" spans="6:16" x14ac:dyDescent="0.25"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</row>
    <row r="630" spans="6:16" x14ac:dyDescent="0.25"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</row>
    <row r="631" spans="6:16" x14ac:dyDescent="0.25"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</row>
    <row r="632" spans="6:16" x14ac:dyDescent="0.25"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</row>
    <row r="633" spans="6:16" x14ac:dyDescent="0.25"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</row>
    <row r="634" spans="6:16" x14ac:dyDescent="0.25"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</row>
    <row r="635" spans="6:16" x14ac:dyDescent="0.25"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</row>
    <row r="636" spans="6:16" x14ac:dyDescent="0.25"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</row>
    <row r="637" spans="6:16" x14ac:dyDescent="0.25"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</row>
    <row r="638" spans="6:16" x14ac:dyDescent="0.25"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</row>
    <row r="639" spans="6:16" x14ac:dyDescent="0.25"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</row>
    <row r="640" spans="6:16" x14ac:dyDescent="0.25"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</row>
    <row r="641" spans="6:16" x14ac:dyDescent="0.25"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</row>
    <row r="642" spans="6:16" x14ac:dyDescent="0.25"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</row>
    <row r="643" spans="6:16" x14ac:dyDescent="0.25"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</row>
    <row r="644" spans="6:16" x14ac:dyDescent="0.25"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</row>
    <row r="645" spans="6:16" x14ac:dyDescent="0.25"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</row>
    <row r="646" spans="6:16" x14ac:dyDescent="0.25"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</row>
    <row r="647" spans="6:16" x14ac:dyDescent="0.25"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</row>
    <row r="648" spans="6:16" x14ac:dyDescent="0.25"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</row>
    <row r="649" spans="6:16" x14ac:dyDescent="0.25"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</row>
    <row r="650" spans="6:16" x14ac:dyDescent="0.25"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</row>
    <row r="651" spans="6:16" x14ac:dyDescent="0.25"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</row>
    <row r="652" spans="6:16" x14ac:dyDescent="0.25"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</row>
    <row r="653" spans="6:16" x14ac:dyDescent="0.25"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</row>
    <row r="654" spans="6:16" x14ac:dyDescent="0.25"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</row>
    <row r="655" spans="6:16" x14ac:dyDescent="0.25"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</row>
    <row r="656" spans="6:16" x14ac:dyDescent="0.25"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</row>
    <row r="657" spans="6:16" x14ac:dyDescent="0.25"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</row>
    <row r="658" spans="6:16" x14ac:dyDescent="0.25"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</row>
    <row r="659" spans="6:16" x14ac:dyDescent="0.25"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</row>
    <row r="660" spans="6:16" x14ac:dyDescent="0.25"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</row>
    <row r="661" spans="6:16" x14ac:dyDescent="0.25"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</row>
    <row r="662" spans="6:16" x14ac:dyDescent="0.25"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</row>
    <row r="663" spans="6:16" x14ac:dyDescent="0.25"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</row>
    <row r="664" spans="6:16" x14ac:dyDescent="0.25"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</row>
    <row r="665" spans="6:16" x14ac:dyDescent="0.25"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</row>
    <row r="666" spans="6:16" x14ac:dyDescent="0.25"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</row>
    <row r="667" spans="6:16" x14ac:dyDescent="0.25"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</row>
    <row r="668" spans="6:16" x14ac:dyDescent="0.25"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</row>
    <row r="669" spans="6:16" x14ac:dyDescent="0.25"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</row>
    <row r="670" spans="6:16" x14ac:dyDescent="0.25"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</row>
    <row r="671" spans="6:16" x14ac:dyDescent="0.25"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</row>
    <row r="672" spans="6:16" x14ac:dyDescent="0.25"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</row>
    <row r="673" spans="6:16" x14ac:dyDescent="0.25"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</row>
    <row r="674" spans="6:16" x14ac:dyDescent="0.25"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</row>
    <row r="675" spans="6:16" x14ac:dyDescent="0.25"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</row>
    <row r="676" spans="6:16" x14ac:dyDescent="0.25"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</row>
    <row r="677" spans="6:16" x14ac:dyDescent="0.25"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</row>
    <row r="678" spans="6:16" x14ac:dyDescent="0.25"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</row>
    <row r="679" spans="6:16" x14ac:dyDescent="0.25"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</row>
    <row r="680" spans="6:16" x14ac:dyDescent="0.25"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</row>
    <row r="681" spans="6:16" x14ac:dyDescent="0.25"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</row>
    <row r="682" spans="6:16" x14ac:dyDescent="0.25"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</row>
    <row r="683" spans="6:16" x14ac:dyDescent="0.25"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</row>
    <row r="684" spans="6:16" x14ac:dyDescent="0.25"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</row>
    <row r="685" spans="6:16" x14ac:dyDescent="0.25"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</row>
    <row r="686" spans="6:16" x14ac:dyDescent="0.25"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</row>
    <row r="687" spans="6:16" x14ac:dyDescent="0.25"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</row>
    <row r="688" spans="6:16" x14ac:dyDescent="0.25"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</row>
    <row r="689" spans="6:16" x14ac:dyDescent="0.25"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</row>
    <row r="690" spans="6:16" x14ac:dyDescent="0.25"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</row>
    <row r="691" spans="6:16" x14ac:dyDescent="0.25"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</row>
    <row r="692" spans="6:16" x14ac:dyDescent="0.25"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</row>
    <row r="693" spans="6:16" x14ac:dyDescent="0.25"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</row>
    <row r="694" spans="6:16" x14ac:dyDescent="0.25"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</row>
    <row r="695" spans="6:16" x14ac:dyDescent="0.25"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</row>
    <row r="696" spans="6:16" x14ac:dyDescent="0.25"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</row>
    <row r="697" spans="6:16" x14ac:dyDescent="0.25"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</row>
    <row r="698" spans="6:16" x14ac:dyDescent="0.25"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</row>
    <row r="699" spans="6:16" x14ac:dyDescent="0.25"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</row>
    <row r="700" spans="6:16" x14ac:dyDescent="0.25"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</row>
    <row r="701" spans="6:16" x14ac:dyDescent="0.25"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</row>
    <row r="702" spans="6:16" x14ac:dyDescent="0.25"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</row>
    <row r="703" spans="6:16" x14ac:dyDescent="0.25"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</row>
    <row r="704" spans="6:16" x14ac:dyDescent="0.25"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</row>
    <row r="705" spans="6:16" x14ac:dyDescent="0.25"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</row>
    <row r="706" spans="6:16" x14ac:dyDescent="0.25"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</row>
    <row r="707" spans="6:16" x14ac:dyDescent="0.25"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</row>
    <row r="708" spans="6:16" x14ac:dyDescent="0.25"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</row>
    <row r="709" spans="6:16" x14ac:dyDescent="0.25"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</row>
    <row r="710" spans="6:16" x14ac:dyDescent="0.25"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</row>
    <row r="711" spans="6:16" x14ac:dyDescent="0.25"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</row>
    <row r="712" spans="6:16" x14ac:dyDescent="0.25"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</row>
    <row r="713" spans="6:16" x14ac:dyDescent="0.25"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</row>
    <row r="714" spans="6:16" x14ac:dyDescent="0.25"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</row>
    <row r="715" spans="6:16" x14ac:dyDescent="0.25"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</row>
    <row r="716" spans="6:16" x14ac:dyDescent="0.25"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</row>
    <row r="717" spans="6:16" x14ac:dyDescent="0.25"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</row>
    <row r="718" spans="6:16" x14ac:dyDescent="0.25"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</row>
    <row r="719" spans="6:16" x14ac:dyDescent="0.25"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</row>
    <row r="720" spans="6:16" x14ac:dyDescent="0.25"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</row>
    <row r="721" spans="6:16" x14ac:dyDescent="0.25"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</row>
    <row r="722" spans="6:16" x14ac:dyDescent="0.25"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</row>
    <row r="723" spans="6:16" x14ac:dyDescent="0.25"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</row>
    <row r="724" spans="6:16" x14ac:dyDescent="0.25"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</row>
    <row r="725" spans="6:16" x14ac:dyDescent="0.25"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</row>
    <row r="726" spans="6:16" x14ac:dyDescent="0.25"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</row>
    <row r="727" spans="6:16" x14ac:dyDescent="0.25"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</row>
    <row r="728" spans="6:16" x14ac:dyDescent="0.25"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</row>
    <row r="729" spans="6:16" x14ac:dyDescent="0.25"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</row>
    <row r="730" spans="6:16" x14ac:dyDescent="0.25"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</row>
    <row r="731" spans="6:16" x14ac:dyDescent="0.25"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</row>
    <row r="732" spans="6:16" x14ac:dyDescent="0.25"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</row>
    <row r="733" spans="6:16" x14ac:dyDescent="0.25"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</row>
    <row r="734" spans="6:16" x14ac:dyDescent="0.25"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</row>
    <row r="735" spans="6:16" x14ac:dyDescent="0.25"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</row>
    <row r="736" spans="6:16" x14ac:dyDescent="0.25"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</row>
    <row r="737" spans="6:16" x14ac:dyDescent="0.25"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</row>
    <row r="738" spans="6:16" x14ac:dyDescent="0.25"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</row>
    <row r="739" spans="6:16" x14ac:dyDescent="0.25"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</row>
    <row r="740" spans="6:16" x14ac:dyDescent="0.25"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</row>
    <row r="741" spans="6:16" x14ac:dyDescent="0.25"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</row>
    <row r="742" spans="6:16" x14ac:dyDescent="0.25"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</row>
    <row r="743" spans="6:16" x14ac:dyDescent="0.25"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</row>
    <row r="744" spans="6:16" x14ac:dyDescent="0.25"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</row>
    <row r="745" spans="6:16" x14ac:dyDescent="0.25"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</row>
    <row r="746" spans="6:16" x14ac:dyDescent="0.25"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</row>
    <row r="747" spans="6:16" x14ac:dyDescent="0.25"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</row>
    <row r="748" spans="6:16" x14ac:dyDescent="0.25"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</row>
    <row r="749" spans="6:16" x14ac:dyDescent="0.25"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</row>
    <row r="750" spans="6:16" x14ac:dyDescent="0.25"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</row>
    <row r="751" spans="6:16" x14ac:dyDescent="0.25"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</row>
    <row r="752" spans="6:16" x14ac:dyDescent="0.25"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</row>
    <row r="753" spans="6:16" x14ac:dyDescent="0.25"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</row>
    <row r="754" spans="6:16" x14ac:dyDescent="0.25"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</row>
    <row r="755" spans="6:16" x14ac:dyDescent="0.25"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</row>
    <row r="756" spans="6:16" x14ac:dyDescent="0.25"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</row>
    <row r="757" spans="6:16" x14ac:dyDescent="0.25"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</row>
    <row r="758" spans="6:16" x14ac:dyDescent="0.25"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</row>
    <row r="759" spans="6:16" x14ac:dyDescent="0.25"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</row>
    <row r="760" spans="6:16" x14ac:dyDescent="0.25"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</row>
    <row r="761" spans="6:16" x14ac:dyDescent="0.25"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</row>
    <row r="762" spans="6:16" x14ac:dyDescent="0.25"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</row>
    <row r="763" spans="6:16" x14ac:dyDescent="0.25"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</row>
    <row r="764" spans="6:16" x14ac:dyDescent="0.25"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</row>
    <row r="765" spans="6:16" x14ac:dyDescent="0.25"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</row>
    <row r="766" spans="6:16" x14ac:dyDescent="0.25"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</row>
    <row r="767" spans="6:16" x14ac:dyDescent="0.25"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</row>
    <row r="768" spans="6:16" x14ac:dyDescent="0.25"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</row>
    <row r="769" spans="6:16" x14ac:dyDescent="0.25"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</row>
    <row r="770" spans="6:16" x14ac:dyDescent="0.25"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</row>
    <row r="771" spans="6:16" x14ac:dyDescent="0.25"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</row>
    <row r="772" spans="6:16" x14ac:dyDescent="0.25"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</row>
    <row r="773" spans="6:16" x14ac:dyDescent="0.25"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</row>
    <row r="774" spans="6:16" x14ac:dyDescent="0.25"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</row>
    <row r="775" spans="6:16" x14ac:dyDescent="0.25"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</row>
    <row r="776" spans="6:16" x14ac:dyDescent="0.25"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</row>
    <row r="777" spans="6:16" x14ac:dyDescent="0.25"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</row>
    <row r="778" spans="6:16" x14ac:dyDescent="0.25"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</row>
    <row r="779" spans="6:16" x14ac:dyDescent="0.25"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</row>
    <row r="780" spans="6:16" x14ac:dyDescent="0.25"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</row>
    <row r="781" spans="6:16" x14ac:dyDescent="0.25"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</row>
    <row r="782" spans="6:16" x14ac:dyDescent="0.25"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</row>
    <row r="783" spans="6:16" x14ac:dyDescent="0.25"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</row>
    <row r="784" spans="6:16" x14ac:dyDescent="0.25"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</row>
    <row r="785" spans="6:16" x14ac:dyDescent="0.25"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</row>
    <row r="786" spans="6:16" x14ac:dyDescent="0.25"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</row>
    <row r="787" spans="6:16" x14ac:dyDescent="0.25"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</row>
    <row r="788" spans="6:16" x14ac:dyDescent="0.25"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</row>
    <row r="789" spans="6:16" x14ac:dyDescent="0.25"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</row>
    <row r="790" spans="6:16" x14ac:dyDescent="0.25"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</row>
    <row r="791" spans="6:16" x14ac:dyDescent="0.25"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</row>
    <row r="792" spans="6:16" x14ac:dyDescent="0.25"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</row>
    <row r="793" spans="6:16" x14ac:dyDescent="0.25"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</row>
    <row r="794" spans="6:16" x14ac:dyDescent="0.25"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</row>
    <row r="795" spans="6:16" x14ac:dyDescent="0.25"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</row>
    <row r="796" spans="6:16" x14ac:dyDescent="0.25"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</row>
    <row r="797" spans="6:16" x14ac:dyDescent="0.25"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</row>
    <row r="798" spans="6:16" x14ac:dyDescent="0.25"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</row>
    <row r="799" spans="6:16" x14ac:dyDescent="0.25"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</row>
    <row r="800" spans="6:16" x14ac:dyDescent="0.25"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</row>
    <row r="801" spans="6:16" x14ac:dyDescent="0.25"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</row>
    <row r="802" spans="6:16" x14ac:dyDescent="0.25"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</row>
    <row r="803" spans="6:16" x14ac:dyDescent="0.25"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</row>
    <row r="804" spans="6:16" x14ac:dyDescent="0.25"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</row>
    <row r="805" spans="6:16" x14ac:dyDescent="0.25"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</row>
    <row r="806" spans="6:16" x14ac:dyDescent="0.25"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</row>
    <row r="807" spans="6:16" x14ac:dyDescent="0.25"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</row>
    <row r="808" spans="6:16" x14ac:dyDescent="0.25"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</row>
    <row r="809" spans="6:16" x14ac:dyDescent="0.25"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</row>
    <row r="810" spans="6:16" x14ac:dyDescent="0.25"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</row>
    <row r="811" spans="6:16" x14ac:dyDescent="0.25"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</row>
    <row r="812" spans="6:16" x14ac:dyDescent="0.25"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</row>
    <row r="813" spans="6:16" x14ac:dyDescent="0.25"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</row>
    <row r="814" spans="6:16" x14ac:dyDescent="0.25"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</row>
    <row r="815" spans="6:16" x14ac:dyDescent="0.25"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</row>
    <row r="816" spans="6:16" x14ac:dyDescent="0.25"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</row>
    <row r="817" spans="6:16" x14ac:dyDescent="0.25"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</row>
    <row r="818" spans="6:16" x14ac:dyDescent="0.25"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</row>
    <row r="819" spans="6:16" x14ac:dyDescent="0.25"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</row>
    <row r="820" spans="6:16" x14ac:dyDescent="0.25"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</row>
    <row r="821" spans="6:16" x14ac:dyDescent="0.25"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</row>
    <row r="822" spans="6:16" x14ac:dyDescent="0.25"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</row>
  </sheetData>
  <pageMargins left="0.7" right="0.7" top="0.75" bottom="0.75" header="0.3" footer="0.3"/>
  <pageSetup paperSize="9" scale="69" fitToWidth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Database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SOILSPECT</dc:creator>
  <cp:lastModifiedBy>dupiau</cp:lastModifiedBy>
  <cp:lastPrinted>2020-06-24T15:30:49Z</cp:lastPrinted>
  <dcterms:created xsi:type="dcterms:W3CDTF">2017-02-23T14:34:51Z</dcterms:created>
  <dcterms:modified xsi:type="dcterms:W3CDTF">2022-04-12T16:12:53Z</dcterms:modified>
</cp:coreProperties>
</file>