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dupiau\Documents\GitHub\marmit\marmit2\databases\Philpot_2014\"/>
    </mc:Choice>
  </mc:AlternateContent>
  <xr:revisionPtr revIDLastSave="0" documentId="13_ncr:1_{3577E2C9-6D12-4DEF-9EEF-4120CC336931}" xr6:coauthVersionLast="36" xr6:coauthVersionMax="36" xr10:uidLastSave="{00000000-0000-0000-0000-000000000000}"/>
  <bookViews>
    <workbookView xWindow="0" yWindow="0" windowWidth="28800" windowHeight="14235" xr2:uid="{00000000-000D-0000-FFFF-FFFF00000000}"/>
  </bookViews>
  <sheets>
    <sheet name="ReadMe" sheetId="1" r:id="rId1"/>
    <sheet name="Database" sheetId="2" r:id="rId2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6" i="2" l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311" i="2"/>
  <c r="I310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208" i="2"/>
  <c r="I207" i="2"/>
  <c r="I206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3" i="2"/>
  <c r="I2" i="2"/>
  <c r="J2" i="2" l="1"/>
  <c r="J406" i="2" l="1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311" i="2"/>
  <c r="J312" i="2"/>
  <c r="J313" i="2"/>
  <c r="J314" i="2"/>
  <c r="J315" i="2"/>
  <c r="J316" i="2"/>
  <c r="J317" i="2"/>
  <c r="J310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208" i="2"/>
  <c r="J20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3" i="2"/>
</calcChain>
</file>

<file path=xl/sharedStrings.xml><?xml version="1.0" encoding="utf-8"?>
<sst xmlns="http://schemas.openxmlformats.org/spreadsheetml/2006/main" count="918" uniqueCount="498">
  <si>
    <t>#</t>
  </si>
  <si>
    <t>Variable</t>
  </si>
  <si>
    <t>Comments</t>
  </si>
  <si>
    <t>Name</t>
  </si>
  <si>
    <t>name of the sample</t>
  </si>
  <si>
    <t>ID</t>
  </si>
  <si>
    <t>ID of the sample</t>
  </si>
  <si>
    <t>Refl_file</t>
  </si>
  <si>
    <t>SMCg</t>
  </si>
  <si>
    <t>gravimetric soil moisture content</t>
  </si>
  <si>
    <t>Additional remarks</t>
  </si>
  <si>
    <t>References</t>
  </si>
  <si>
    <t>"Relationship between surface soil water content, evaporation rate, and water absorption band depths in SWIR reflectance spectra"</t>
  </si>
  <si>
    <t>"Relating water absorption features to soil moisture characteristics"</t>
  </si>
  <si>
    <t>Number of soil samples: 3</t>
  </si>
  <si>
    <t>Ithaca soil</t>
  </si>
  <si>
    <t>Quartz sand</t>
  </si>
  <si>
    <t>Masonry sand</t>
  </si>
  <si>
    <t xml:space="preserve">m_d_tot </t>
  </si>
  <si>
    <t xml:space="preserve">m_d  </t>
  </si>
  <si>
    <t xml:space="preserve">m_w_tot </t>
  </si>
  <si>
    <t xml:space="preserve">Clay </t>
  </si>
  <si>
    <t xml:space="preserve">Silt </t>
  </si>
  <si>
    <t>Sand</t>
  </si>
  <si>
    <t xml:space="preserve">OM </t>
  </si>
  <si>
    <t xml:space="preserve">Density </t>
  </si>
  <si>
    <t>m_d</t>
  </si>
  <si>
    <t>m_w_tot</t>
  </si>
  <si>
    <t>Silt</t>
  </si>
  <si>
    <t>OM</t>
  </si>
  <si>
    <t>Density</t>
  </si>
  <si>
    <t>organic matter in g/kg</t>
  </si>
  <si>
    <t>V_tot</t>
  </si>
  <si>
    <t>SMCv</t>
  </si>
  <si>
    <t>total volume of the soil, water and air (volume of the sample holder) in cm-3</t>
  </si>
  <si>
    <t xml:space="preserve">The SMCg values are obtained using the gravimetric method [3], by weighing the dry sample(mass=m_d) and the sample with varying humidity (mass=m_w_tot): SMCg=100*(m_w_tot - m_d_tot)/m_d. The mass of the sample holder is included in m_w_tot and m_d_tot. </t>
  </si>
  <si>
    <t>volumetric soil moisture content</t>
  </si>
  <si>
    <t>K</t>
  </si>
  <si>
    <t>a</t>
  </si>
  <si>
    <t>psi</t>
  </si>
  <si>
    <t>phil14_001.csv</t>
  </si>
  <si>
    <t>phil14_002.csv</t>
  </si>
  <si>
    <t>phil14_003.csv</t>
  </si>
  <si>
    <t>phil14_004.csv</t>
  </si>
  <si>
    <t>phil14_005.csv</t>
  </si>
  <si>
    <t>phil14_006.csv</t>
  </si>
  <si>
    <t>phil14_007.csv</t>
  </si>
  <si>
    <t>phil14_008.csv</t>
  </si>
  <si>
    <t>phil14_009.csv</t>
  </si>
  <si>
    <t>phil14_010.csv</t>
  </si>
  <si>
    <t>phil14_011.csv</t>
  </si>
  <si>
    <t>phil14_012.csv</t>
  </si>
  <si>
    <t>phil14_013.csv</t>
  </si>
  <si>
    <t>phil14_014.csv</t>
  </si>
  <si>
    <t>phil14_015.csv</t>
  </si>
  <si>
    <t>phil14_016.csv</t>
  </si>
  <si>
    <t>phil14_017.csv</t>
  </si>
  <si>
    <t>phil14_018.csv</t>
  </si>
  <si>
    <t>phil14_019.csv</t>
  </si>
  <si>
    <t>phil14_020.csv</t>
  </si>
  <si>
    <t>phil14_021.csv</t>
  </si>
  <si>
    <t>phil14_022.csv</t>
  </si>
  <si>
    <t>phil14_023.csv</t>
  </si>
  <si>
    <t>phil14_024.csv</t>
  </si>
  <si>
    <t>phil14_025.csv</t>
  </si>
  <si>
    <t>phil14_026.csv</t>
  </si>
  <si>
    <t>phil14_027.csv</t>
  </si>
  <si>
    <t>phil14_028.csv</t>
  </si>
  <si>
    <t>phil14_029.csv</t>
  </si>
  <si>
    <t>phil14_030.csv</t>
  </si>
  <si>
    <t>phil14_031.csv</t>
  </si>
  <si>
    <t>phil14_032.csv</t>
  </si>
  <si>
    <t>phil14_033.csv</t>
  </si>
  <si>
    <t>phil14_034.csv</t>
  </si>
  <si>
    <t>phil14_035.csv</t>
  </si>
  <si>
    <t>phil14_036.csv</t>
  </si>
  <si>
    <t>phil14_037.csv</t>
  </si>
  <si>
    <t>phil14_038.csv</t>
  </si>
  <si>
    <t>phil14_039.csv</t>
  </si>
  <si>
    <t>phil14_040.csv</t>
  </si>
  <si>
    <t>phil14_041.csv</t>
  </si>
  <si>
    <t>phil14_042.csv</t>
  </si>
  <si>
    <t>phil14_043.csv</t>
  </si>
  <si>
    <t>phil14_044.csv</t>
  </si>
  <si>
    <t>phil14_045.csv</t>
  </si>
  <si>
    <t>phil14_046.csv</t>
  </si>
  <si>
    <t>phil14_047.csv</t>
  </si>
  <si>
    <t>phil14_048.csv</t>
  </si>
  <si>
    <t>phil14_049.csv</t>
  </si>
  <si>
    <t>phil14_050.csv</t>
  </si>
  <si>
    <t>phil14_051.csv</t>
  </si>
  <si>
    <t>phil14_052.csv</t>
  </si>
  <si>
    <t>phil14_053.csv</t>
  </si>
  <si>
    <t>phil14_054.csv</t>
  </si>
  <si>
    <t>phil14_055.csv</t>
  </si>
  <si>
    <t>phil14_056.csv</t>
  </si>
  <si>
    <t>phil14_057.csv</t>
  </si>
  <si>
    <t>phil14_058.csv</t>
  </si>
  <si>
    <t>phil14_059.csv</t>
  </si>
  <si>
    <t>phil14_060.csv</t>
  </si>
  <si>
    <t>phil14_061.csv</t>
  </si>
  <si>
    <t>phil14_062.csv</t>
  </si>
  <si>
    <t>phil14_063.csv</t>
  </si>
  <si>
    <t>phil14_064.csv</t>
  </si>
  <si>
    <t>phil14_065.csv</t>
  </si>
  <si>
    <t>phil14_066.csv</t>
  </si>
  <si>
    <t>phil14_067.csv</t>
  </si>
  <si>
    <t>phil14_068.csv</t>
  </si>
  <si>
    <t>phil14_069.csv</t>
  </si>
  <si>
    <t>phil14_070.csv</t>
  </si>
  <si>
    <t>phil14_071.csv</t>
  </si>
  <si>
    <t>phil14_072.csv</t>
  </si>
  <si>
    <t>phil14_073.csv</t>
  </si>
  <si>
    <t>phil14_074.csv</t>
  </si>
  <si>
    <t>phil14_075.csv</t>
  </si>
  <si>
    <t>phil14_076.csv</t>
  </si>
  <si>
    <t>phil14_077.csv</t>
  </si>
  <si>
    <t>phil14_078.csv</t>
  </si>
  <si>
    <t>phil14_079.csv</t>
  </si>
  <si>
    <t>phil14_080.csv</t>
  </si>
  <si>
    <t>phil14_081.csv</t>
  </si>
  <si>
    <t>phil14_082.csv</t>
  </si>
  <si>
    <t>phil14_083.csv</t>
  </si>
  <si>
    <t>phil14_084.csv</t>
  </si>
  <si>
    <t>phil14_085.csv</t>
  </si>
  <si>
    <t>phil14_086.csv</t>
  </si>
  <si>
    <t>phil14_087.csv</t>
  </si>
  <si>
    <t>phil14_088.csv</t>
  </si>
  <si>
    <t>phil14_089.csv</t>
  </si>
  <si>
    <t>phil14_090.csv</t>
  </si>
  <si>
    <t>phil14_091.csv</t>
  </si>
  <si>
    <t>phil14_092.csv</t>
  </si>
  <si>
    <t>phil14_093.csv</t>
  </si>
  <si>
    <t>phil14_094.csv</t>
  </si>
  <si>
    <t>phil14_095.csv</t>
  </si>
  <si>
    <t>phil14_096.csv</t>
  </si>
  <si>
    <t>phil14_097.csv</t>
  </si>
  <si>
    <t>phil14_098.csv</t>
  </si>
  <si>
    <t>phil14_099.csv</t>
  </si>
  <si>
    <t>phil14_100.csv</t>
  </si>
  <si>
    <t>phil14_101.csv</t>
  </si>
  <si>
    <t>phil14_102.csv</t>
  </si>
  <si>
    <t>phil14_103.csv</t>
  </si>
  <si>
    <t>phil14_104.csv</t>
  </si>
  <si>
    <t>phil14_105.csv</t>
  </si>
  <si>
    <t>phil14_106.csv</t>
  </si>
  <si>
    <t>phil14_107.csv</t>
  </si>
  <si>
    <t>phil14_108.csv</t>
  </si>
  <si>
    <t>phil14_109.csv</t>
  </si>
  <si>
    <t>phil14_110.csv</t>
  </si>
  <si>
    <t>phil14_111.csv</t>
  </si>
  <si>
    <t>phil14_112.csv</t>
  </si>
  <si>
    <t>phil14_113.csv</t>
  </si>
  <si>
    <t>phil14_114.csv</t>
  </si>
  <si>
    <t>phil14_115.csv</t>
  </si>
  <si>
    <t>phil14_116.csv</t>
  </si>
  <si>
    <t>phil14_117.csv</t>
  </si>
  <si>
    <t>phil14_118.csv</t>
  </si>
  <si>
    <t>phil14_119.csv</t>
  </si>
  <si>
    <t>phil14_120.csv</t>
  </si>
  <si>
    <t>phil14_121.csv</t>
  </si>
  <si>
    <t>phil14_122.csv</t>
  </si>
  <si>
    <t>phil14_123.csv</t>
  </si>
  <si>
    <t>phil14_124.csv</t>
  </si>
  <si>
    <t>phil14_125.csv</t>
  </si>
  <si>
    <t>phil14_126.csv</t>
  </si>
  <si>
    <t>phil14_127.csv</t>
  </si>
  <si>
    <t>phil14_128.csv</t>
  </si>
  <si>
    <t>phil14_129.csv</t>
  </si>
  <si>
    <t>phil14_130.csv</t>
  </si>
  <si>
    <t>phil14_131.csv</t>
  </si>
  <si>
    <t>phil14_132.csv</t>
  </si>
  <si>
    <t>phil14_133.csv</t>
  </si>
  <si>
    <t>phil14_134.csv</t>
  </si>
  <si>
    <t>phil14_135.csv</t>
  </si>
  <si>
    <t>phil14_136.csv</t>
  </si>
  <si>
    <t>phil14_137.csv</t>
  </si>
  <si>
    <t>phil14_138.csv</t>
  </si>
  <si>
    <t>phil14_139.csv</t>
  </si>
  <si>
    <t>phil14_140.csv</t>
  </si>
  <si>
    <t>phil14_141.csv</t>
  </si>
  <si>
    <t>phil14_142.csv</t>
  </si>
  <si>
    <t>phil14_143.csv</t>
  </si>
  <si>
    <t>phil14_144.csv</t>
  </si>
  <si>
    <t>phil14_145.csv</t>
  </si>
  <si>
    <t>phil14_146.csv</t>
  </si>
  <si>
    <t>phil14_147.csv</t>
  </si>
  <si>
    <t>phil14_148.csv</t>
  </si>
  <si>
    <t>phil14_149.csv</t>
  </si>
  <si>
    <t>phil14_150.csv</t>
  </si>
  <si>
    <t>phil14_151.csv</t>
  </si>
  <si>
    <t>phil14_152.csv</t>
  </si>
  <si>
    <t>phil14_153.csv</t>
  </si>
  <si>
    <t>phil14_154.csv</t>
  </si>
  <si>
    <t>phil14_155.csv</t>
  </si>
  <si>
    <t>phil14_156.csv</t>
  </si>
  <si>
    <t>phil14_157.csv</t>
  </si>
  <si>
    <t>phil14_158.csv</t>
  </si>
  <si>
    <t>phil14_159.csv</t>
  </si>
  <si>
    <t>phil14_160.csv</t>
  </si>
  <si>
    <t>phil14_161.csv</t>
  </si>
  <si>
    <t>phil14_162.csv</t>
  </si>
  <si>
    <t>phil14_163.csv</t>
  </si>
  <si>
    <t>phil14_164.csv</t>
  </si>
  <si>
    <t>phil14_165.csv</t>
  </si>
  <si>
    <t>phil14_166.csv</t>
  </si>
  <si>
    <t>phil14_167.csv</t>
  </si>
  <si>
    <t>phil14_168.csv</t>
  </si>
  <si>
    <t>phil14_169.csv</t>
  </si>
  <si>
    <t>phil14_170.csv</t>
  </si>
  <si>
    <t>phil14_171.csv</t>
  </si>
  <si>
    <t>phil14_172.csv</t>
  </si>
  <si>
    <t>phil14_173.csv</t>
  </si>
  <si>
    <t>phil14_174.csv</t>
  </si>
  <si>
    <t>phil14_175.csv</t>
  </si>
  <si>
    <t>phil14_176.csv</t>
  </si>
  <si>
    <t>phil14_177.csv</t>
  </si>
  <si>
    <t>phil14_178.csv</t>
  </si>
  <si>
    <t>phil14_179.csv</t>
  </si>
  <si>
    <t>phil14_180.csv</t>
  </si>
  <si>
    <t>phil14_181.csv</t>
  </si>
  <si>
    <t>phil14_182.csv</t>
  </si>
  <si>
    <t>phil14_183.csv</t>
  </si>
  <si>
    <t>phil14_184.csv</t>
  </si>
  <si>
    <t>phil14_185.csv</t>
  </si>
  <si>
    <t>phil14_186.csv</t>
  </si>
  <si>
    <t>phil14_187.csv</t>
  </si>
  <si>
    <t>phil14_188.csv</t>
  </si>
  <si>
    <t>phil14_189.csv</t>
  </si>
  <si>
    <t>phil14_190.csv</t>
  </si>
  <si>
    <t>phil14_191.csv</t>
  </si>
  <si>
    <t>phil14_192.csv</t>
  </si>
  <si>
    <t>phil14_193.csv</t>
  </si>
  <si>
    <t>phil14_194.csv</t>
  </si>
  <si>
    <t>phil14_195.csv</t>
  </si>
  <si>
    <t>phil14_196.csv</t>
  </si>
  <si>
    <t>phil14_197.csv</t>
  </si>
  <si>
    <t>phil14_198.csv</t>
  </si>
  <si>
    <t>phil14_199.csv</t>
  </si>
  <si>
    <t>phil14_200.csv</t>
  </si>
  <si>
    <t>phil14_201.csv</t>
  </si>
  <si>
    <t>phil14_202.csv</t>
  </si>
  <si>
    <t>phil14_203.csv</t>
  </si>
  <si>
    <t>phil14_204.csv</t>
  </si>
  <si>
    <t>phil14_205.csv</t>
  </si>
  <si>
    <t>phil14_206.csv</t>
  </si>
  <si>
    <t>phil14_207.csv</t>
  </si>
  <si>
    <t>phil14_208.csv</t>
  </si>
  <si>
    <t>phil14_209.csv</t>
  </si>
  <si>
    <t>phil14_210.csv</t>
  </si>
  <si>
    <t>phil14_211.csv</t>
  </si>
  <si>
    <t>phil14_212.csv</t>
  </si>
  <si>
    <t>phil14_213.csv</t>
  </si>
  <si>
    <t>phil14_214.csv</t>
  </si>
  <si>
    <t>phil14_215.csv</t>
  </si>
  <si>
    <t>phil14_216.csv</t>
  </si>
  <si>
    <t>phil14_217.csv</t>
  </si>
  <si>
    <t>phil14_218.csv</t>
  </si>
  <si>
    <t>phil14_219.csv</t>
  </si>
  <si>
    <t>phil14_220.csv</t>
  </si>
  <si>
    <t>phil14_221.csv</t>
  </si>
  <si>
    <t>phil14_222.csv</t>
  </si>
  <si>
    <t>phil14_223.csv</t>
  </si>
  <si>
    <t>phil14_224.csv</t>
  </si>
  <si>
    <t>phil14_225.csv</t>
  </si>
  <si>
    <t>phil14_226.csv</t>
  </si>
  <si>
    <t>phil14_227.csv</t>
  </si>
  <si>
    <t>phil14_228.csv</t>
  </si>
  <si>
    <t>phil14_229.csv</t>
  </si>
  <si>
    <t>phil14_230.csv</t>
  </si>
  <si>
    <t>phil14_231.csv</t>
  </si>
  <si>
    <t>phil14_232.csv</t>
  </si>
  <si>
    <t>phil14_233.csv</t>
  </si>
  <si>
    <t>phil14_234.csv</t>
  </si>
  <si>
    <t>phil14_235.csv</t>
  </si>
  <si>
    <t>phil14_236.csv</t>
  </si>
  <si>
    <t>phil14_237.csv</t>
  </si>
  <si>
    <t>phil14_238.csv</t>
  </si>
  <si>
    <t>phil14_239.csv</t>
  </si>
  <si>
    <t>phil14_240.csv</t>
  </si>
  <si>
    <t>phil14_241.csv</t>
  </si>
  <si>
    <t>phil14_242.csv</t>
  </si>
  <si>
    <t>phil14_243.csv</t>
  </si>
  <si>
    <t>phil14_244.csv</t>
  </si>
  <si>
    <t>phil14_245.csv</t>
  </si>
  <si>
    <t>phil14_246.csv</t>
  </si>
  <si>
    <t>phil14_247.csv</t>
  </si>
  <si>
    <t>phil14_248.csv</t>
  </si>
  <si>
    <t>phil14_249.csv</t>
  </si>
  <si>
    <t>phil14_250.csv</t>
  </si>
  <si>
    <t>phil14_251.csv</t>
  </si>
  <si>
    <t>phil14_252.csv</t>
  </si>
  <si>
    <t>phil14_253.csv</t>
  </si>
  <si>
    <t>phil14_254.csv</t>
  </si>
  <si>
    <t>phil14_255.csv</t>
  </si>
  <si>
    <t>phil14_256.csv</t>
  </si>
  <si>
    <t>phil14_257.csv</t>
  </si>
  <si>
    <t>phil14_258.csv</t>
  </si>
  <si>
    <t>phil14_259.csv</t>
  </si>
  <si>
    <t>phil14_260.csv</t>
  </si>
  <si>
    <t>phil14_261.csv</t>
  </si>
  <si>
    <t>phil14_262.csv</t>
  </si>
  <si>
    <t>phil14_263.csv</t>
  </si>
  <si>
    <t>phil14_264.csv</t>
  </si>
  <si>
    <t>phil14_265.csv</t>
  </si>
  <si>
    <t>phil14_266.csv</t>
  </si>
  <si>
    <t>phil14_267.csv</t>
  </si>
  <si>
    <t>phil14_268.csv</t>
  </si>
  <si>
    <t>phil14_269.csv</t>
  </si>
  <si>
    <t>phil14_270.csv</t>
  </si>
  <si>
    <t>phil14_271.csv</t>
  </si>
  <si>
    <t>phil14_272.csv</t>
  </si>
  <si>
    <t>phil14_273.csv</t>
  </si>
  <si>
    <t>phil14_274.csv</t>
  </si>
  <si>
    <t>phil14_275.csv</t>
  </si>
  <si>
    <t>phil14_276.csv</t>
  </si>
  <si>
    <t>phil14_277.csv</t>
  </si>
  <si>
    <t>phil14_278.csv</t>
  </si>
  <si>
    <t>phil14_279.csv</t>
  </si>
  <si>
    <t>phil14_280.csv</t>
  </si>
  <si>
    <t>phil14_281.csv</t>
  </si>
  <si>
    <t>phil14_282.csv</t>
  </si>
  <si>
    <t>phil14_283.csv</t>
  </si>
  <si>
    <t>phil14_284.csv</t>
  </si>
  <si>
    <t>phil14_285.csv</t>
  </si>
  <si>
    <t>phil14_286.csv</t>
  </si>
  <si>
    <t>phil14_287.csv</t>
  </si>
  <si>
    <t>phil14_288.csv</t>
  </si>
  <si>
    <t>phil14_289.csv</t>
  </si>
  <si>
    <t>phil14_290.csv</t>
  </si>
  <si>
    <t>phil14_291.csv</t>
  </si>
  <si>
    <t>phil14_292.csv</t>
  </si>
  <si>
    <t>phil14_293.csv</t>
  </si>
  <si>
    <t>phil14_294.csv</t>
  </si>
  <si>
    <t>phil14_295.csv</t>
  </si>
  <si>
    <t>phil14_296.csv</t>
  </si>
  <si>
    <t>phil14_297.csv</t>
  </si>
  <si>
    <t>phil14_298.csv</t>
  </si>
  <si>
    <t>phil14_299.csv</t>
  </si>
  <si>
    <t>phil14_300.csv</t>
  </si>
  <si>
    <t>phil14_301.csv</t>
  </si>
  <si>
    <t>phil14_302.csv</t>
  </si>
  <si>
    <t>phil14_303.csv</t>
  </si>
  <si>
    <t>phil14_304.csv</t>
  </si>
  <si>
    <t>phil14_305.csv</t>
  </si>
  <si>
    <t>phil14_306.csv</t>
  </si>
  <si>
    <t>phil14_307.csv</t>
  </si>
  <si>
    <t>phil14_308.csv</t>
  </si>
  <si>
    <t>phil14_309.csv</t>
  </si>
  <si>
    <t>phil14_310.csv</t>
  </si>
  <si>
    <t>phil14_311.csv</t>
  </si>
  <si>
    <t>phil14_312.csv</t>
  </si>
  <si>
    <t>phil14_313.csv</t>
  </si>
  <si>
    <t>phil14_314.csv</t>
  </si>
  <si>
    <t>phil14_315.csv</t>
  </si>
  <si>
    <t>phil14_316.csv</t>
  </si>
  <si>
    <t>phil14_317.csv</t>
  </si>
  <si>
    <t>phil14_318.csv</t>
  </si>
  <si>
    <t>phil14_319.csv</t>
  </si>
  <si>
    <t>phil14_320.csv</t>
  </si>
  <si>
    <t>phil14_321.csv</t>
  </si>
  <si>
    <t>phil14_322.csv</t>
  </si>
  <si>
    <t>phil14_323.csv</t>
  </si>
  <si>
    <t>phil14_324.csv</t>
  </si>
  <si>
    <t>phil14_325.csv</t>
  </si>
  <si>
    <t>phil14_326.csv</t>
  </si>
  <si>
    <t>phil14_327.csv</t>
  </si>
  <si>
    <t>phil14_328.csv</t>
  </si>
  <si>
    <t>phil14_329.csv</t>
  </si>
  <si>
    <t>phil14_330.csv</t>
  </si>
  <si>
    <t>phil14_331.csv</t>
  </si>
  <si>
    <t>phil14_332.csv</t>
  </si>
  <si>
    <t>phil14_333.csv</t>
  </si>
  <si>
    <t>phil14_334.csv</t>
  </si>
  <si>
    <t>phil14_335.csv</t>
  </si>
  <si>
    <t>phil14_336.csv</t>
  </si>
  <si>
    <t>phil14_337.csv</t>
  </si>
  <si>
    <t>phil14_338.csv</t>
  </si>
  <si>
    <t>phil14_339.csv</t>
  </si>
  <si>
    <t>phil14_340.csv</t>
  </si>
  <si>
    <t>phil14_341.csv</t>
  </si>
  <si>
    <t>phil14_342.csv</t>
  </si>
  <si>
    <t>phil14_343.csv</t>
  </si>
  <si>
    <t>phil14_344.csv</t>
  </si>
  <si>
    <t>phil14_345.csv</t>
  </si>
  <si>
    <t>phil14_346.csv</t>
  </si>
  <si>
    <t>phil14_347.csv</t>
  </si>
  <si>
    <t>phil14_348.csv</t>
  </si>
  <si>
    <t>phil14_349.csv</t>
  </si>
  <si>
    <t>phil14_350.csv</t>
  </si>
  <si>
    <t>phil14_351.csv</t>
  </si>
  <si>
    <t>phil14_352.csv</t>
  </si>
  <si>
    <t>phil14_353.csv</t>
  </si>
  <si>
    <t>phil14_354.csv</t>
  </si>
  <si>
    <t>phil14_355.csv</t>
  </si>
  <si>
    <t>phil14_356.csv</t>
  </si>
  <si>
    <t>phil14_357.csv</t>
  </si>
  <si>
    <t>phil14_358.csv</t>
  </si>
  <si>
    <t>phil14_359.csv</t>
  </si>
  <si>
    <t>phil14_360.csv</t>
  </si>
  <si>
    <t>phil14_361.csv</t>
  </si>
  <si>
    <t>phil14_362.csv</t>
  </si>
  <si>
    <t>phil14_363.csv</t>
  </si>
  <si>
    <t>phil14_364.csv</t>
  </si>
  <si>
    <t>phil14_365.csv</t>
  </si>
  <si>
    <t>phil14_366.csv</t>
  </si>
  <si>
    <t>phil14_367.csv</t>
  </si>
  <si>
    <t>phil14_368.csv</t>
  </si>
  <si>
    <t>phil14_369.csv</t>
  </si>
  <si>
    <t>phil14_370.csv</t>
  </si>
  <si>
    <t>phil14_371.csv</t>
  </si>
  <si>
    <t>phil14_372.csv</t>
  </si>
  <si>
    <t>phil14_373.csv</t>
  </si>
  <si>
    <t>phil14_374.csv</t>
  </si>
  <si>
    <t>phil14_375.csv</t>
  </si>
  <si>
    <t>phil14_376.csv</t>
  </si>
  <si>
    <t>phil14_377.csv</t>
  </si>
  <si>
    <t>phil14_378.csv</t>
  </si>
  <si>
    <t>phil14_379.csv</t>
  </si>
  <si>
    <t>phil14_380.csv</t>
  </si>
  <si>
    <t>phil14_381.csv</t>
  </si>
  <si>
    <t>phil14_382.csv</t>
  </si>
  <si>
    <t>phil14_383.csv</t>
  </si>
  <si>
    <t>phil14_384.csv</t>
  </si>
  <si>
    <t>phil14_385.csv</t>
  </si>
  <si>
    <t>phil14_386.csv</t>
  </si>
  <si>
    <t>phil14_387.csv</t>
  </si>
  <si>
    <t>phil14_388.csv</t>
  </si>
  <si>
    <t>phil14_389.csv</t>
  </si>
  <si>
    <t>phil14_390.csv</t>
  </si>
  <si>
    <t>phil14_391.csv</t>
  </si>
  <si>
    <t>phil14_392.csv</t>
  </si>
  <si>
    <t>phil14_393.csv</t>
  </si>
  <si>
    <t>phil14_394.csv</t>
  </si>
  <si>
    <t>phil14_395.csv</t>
  </si>
  <si>
    <t>phil14_396.csv</t>
  </si>
  <si>
    <t>phil14_397.csv</t>
  </si>
  <si>
    <t>phil14_398.csv</t>
  </si>
  <si>
    <t>phil14_399.csv</t>
  </si>
  <si>
    <t>phil14_400.csv</t>
  </si>
  <si>
    <t>phil14_401.csv</t>
  </si>
  <si>
    <t>phil14_402.csv</t>
  </si>
  <si>
    <t>phil14_403.csv</t>
  </si>
  <si>
    <t>phil14_404.csv</t>
  </si>
  <si>
    <t>phil14_405.csv</t>
  </si>
  <si>
    <t>Specular</t>
  </si>
  <si>
    <t>suspicion of specular reflection : 0 = no, 1 = yes</t>
  </si>
  <si>
    <t>m_d_tot</t>
  </si>
  <si>
    <t>Clay</t>
  </si>
  <si>
    <t>parameter of the sigmoid function for soil calibration</t>
  </si>
  <si>
    <t>Slope</t>
  </si>
  <si>
    <t>Intercept</t>
  </si>
  <si>
    <t>"Distinguishing vegetation from soil background information"</t>
  </si>
  <si>
    <t>L</t>
  </si>
  <si>
    <t>eps</t>
  </si>
  <si>
    <t>slope of the soil line</t>
  </si>
  <si>
    <t>intercept of the soil line</t>
  </si>
  <si>
    <t>soil reflectance and humidity content database (2014)</t>
  </si>
  <si>
    <t>W.D. Philpot (Cornell University)</t>
  </si>
  <si>
    <t>Location of the acquisitions: Cornell University, Ithaca (NY, USA)</t>
  </si>
  <si>
    <t>file name of the reflectance spectrum (from 350 nm to 2500 nm with 1 nm step)</t>
  </si>
  <si>
    <t>initial mass of the dry soil + sample holder in g</t>
  </si>
  <si>
    <t>initial mass of dry soil in g</t>
  </si>
  <si>
    <t>total mass of the wet sample + sample holder in g</t>
  </si>
  <si>
    <t>bulk density in g/cm3</t>
  </si>
  <si>
    <t xml:space="preserve">Three types of soil were investigated: </t>
  </si>
  <si>
    <t xml:space="preserve"> - 'Quartz sand': white, quartz sand. The sand sample collected from the Cornell golf course where it is used for the sand traps consisted of white relatively translucent 90% silica. The sand particles were homogeneous in size with an average diameter of about 1 mm.</t>
  </si>
  <si>
    <t>Because of the white color, translucence and low absorption, the spectral reflectance is high relative to most soils.</t>
  </si>
  <si>
    <t xml:space="preserve"> - 'Masonry sand': The sample was collected from the Cornell golf course where it is used as topdressing for the greens. The sand sample is generally light brown with black particles. </t>
  </si>
  <si>
    <t>The particle size is moderately homogeneous, and relatively fine with an approximate average diameter of 50 microns.</t>
  </si>
  <si>
    <t xml:space="preserve"> - 'Ithaca soil': a typical soil from the Ithaca area, sampled in a local orchard. It has a relatively high content of clay and organic matter. </t>
  </si>
  <si>
    <t>The sample is not homogeneous in size but contains a number of larger particles: pieces of plant roots or aggregates of fine particles. For the experiment, the large particles were removed.</t>
  </si>
  <si>
    <t>An ASD FieldSpec Pro FR spectroradiometer was used to measure the reflectance spectra.</t>
  </si>
  <si>
    <t>The halogen light source was making a 30° angle with the normal of the samples and the spectroradiometer was measuring at nadir.</t>
  </si>
  <si>
    <t>The samples are humidified and air-dried, several measurements of the reflectance are made during the drying process to obtain the successive soil moisture contents [1, 2].</t>
  </si>
  <si>
    <t>The SMCv values are the volumetric soil moisture contents as presented in [1], SMCv=100*(m_w_tot - m_d_tot)/(rho_water*V_tot) ; rho_water=1g/cm3 is water density.</t>
  </si>
  <si>
    <t>[1] Tian J. &amp; Philpot W. D. (2015)</t>
  </si>
  <si>
    <t>[2] Tian J. &amp; Philpot W. D. (2015)</t>
  </si>
  <si>
    <t>Proc. Imaging Spectrometry XX (Pagano T.S. &amp; Silny J.F., eds), San Diego, CA, USA, 9 August 2015, SPIE, Vol. 9611, pp. 96110M1-8. soil optical properties, water content http://dx.doi.org/10.1117/12.2188478</t>
  </si>
  <si>
    <r>
      <rPr>
        <sz val="10"/>
        <color theme="1"/>
        <rFont val="Arial"/>
        <family val="2"/>
      </rPr>
      <t>Remote Sensing of Environment</t>
    </r>
    <r>
      <rPr>
        <i/>
        <sz val="10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169:280–289. https://doi.org/10.1016/j.rse.2015.08.007</t>
    </r>
  </si>
  <si>
    <t xml:space="preserve">[3] Haubrock S., Chabrillat S., Lemmitz C. &amp; Kaufmann H. (2008) </t>
  </si>
  <si>
    <t>"Surface soil moisture quantification models from reflectance data under field conditions"</t>
  </si>
  <si>
    <t>International Journal of Remote Sensing, 29(1):3–29. https://doi.org/10.1080/01431160701294695</t>
  </si>
  <si>
    <t xml:space="preserve">For different SMC, the soil line relates the near infrared (NIR) reflectance to the red (RED) reflectance of a given soil [4]. The slope and the intercept of the soil line are given in this database. </t>
  </si>
  <si>
    <t>Photogrammetric Engineering and Remote Sensing, 43(12):1541–1552. https://www.asprs.org/wp-content/uploads/pers/1977journal/dec/1977_dec_1541-1552.pdf</t>
  </si>
  <si>
    <t>clay (grain size &lt; 2 µm) in g/kg</t>
  </si>
  <si>
    <t>fine and coarse silt (grain size 2-50µm) in g/kg</t>
  </si>
  <si>
    <t>fine and coarse sand (grain size 50-2000µm) in g/kg</t>
  </si>
  <si>
    <t>Last update : 1st October, 2021</t>
  </si>
  <si>
    <t>thickness of the water layer in cm (parameter of MARMIT-2)</t>
  </si>
  <si>
    <t>surface fraction of wet soil (parameter of MARMIT-2)</t>
  </si>
  <si>
    <t>d</t>
  </si>
  <si>
    <t>volume fraction of soil particles in the water layer (parameter of MARMIT-2)</t>
  </si>
  <si>
    <t>A relationship between SMC and phi=L*epsilon, with L and epsilon two of the three input parameters of MARMIT-2 [5], is given for each soil: SMC = K/(1+a*exp(-psi*phi)) where K, a, and psi are the parameters of the sigmoid function.</t>
  </si>
  <si>
    <t>[4] Richardson A.J. &amp; Wiegand C.L. (1977)</t>
  </si>
  <si>
    <t>"MARMIT-2: an improved version of the MARMIT model to predict soil reflectance as a function of surface water content in the solar domain"</t>
  </si>
  <si>
    <t xml:space="preserve">[5] Dupiau A., Jacquemoud S., Briottet X., Fabre S., Viallefont-Robinet F., Philpot W., Di Biagio C., Hébert M., Formenti P. (2022) </t>
  </si>
  <si>
    <t xml:space="preserve">Remore Sensing of Environment, 272:112951. https://doi.org/10.1016/j.rse.2022.112951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</si>
</sst>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.00"/>
    <numFmt numFmtId="166" formatCode="0.0000"/>
  </numFmts>
  <fonts count="11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5" xfId="0" applyFont="1" applyFill="1" applyBorder="1"/>
    <xf numFmtId="0" fontId="2" fillId="2" borderId="5" xfId="0" applyFont="1" applyFill="1" applyBorder="1" applyAlignment="1">
      <alignment horizontal="center"/>
    </xf>
    <xf numFmtId="0" fontId="5" fillId="0" borderId="5" xfId="0" applyFont="1" applyBorder="1"/>
    <xf numFmtId="0" fontId="2" fillId="0" borderId="1" xfId="0" applyFont="1" applyBorder="1"/>
    <xf numFmtId="0" fontId="2" fillId="0" borderId="5" xfId="0" applyFont="1" applyBorder="1"/>
    <xf numFmtId="20" fontId="5" fillId="0" borderId="9" xfId="0" applyNumberFormat="1" applyFont="1" applyBorder="1"/>
    <xf numFmtId="0" fontId="2" fillId="0" borderId="9" xfId="0" applyFont="1" applyFill="1" applyBorder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9" fillId="0" borderId="12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0" fillId="0" borderId="0" xfId="0" applyFont="1"/>
    <xf numFmtId="20" fontId="5" fillId="0" borderId="1" xfId="0" applyNumberFormat="1" applyFont="1" applyBorder="1"/>
    <xf numFmtId="0" fontId="9" fillId="0" borderId="21" xfId="0" applyFont="1" applyFill="1" applyBorder="1" applyAlignment="1">
      <alignment horizontal="center"/>
    </xf>
    <xf numFmtId="0" fontId="2" fillId="0" borderId="4" xfId="0" applyFont="1" applyBorder="1"/>
    <xf numFmtId="0" fontId="2" fillId="0" borderId="11" xfId="0" applyFont="1" applyBorder="1"/>
    <xf numFmtId="0" fontId="2" fillId="2" borderId="9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0" borderId="5" xfId="0" applyFont="1" applyFill="1" applyBorder="1"/>
    <xf numFmtId="0" fontId="5" fillId="0" borderId="0" xfId="0" applyFont="1"/>
    <xf numFmtId="0" fontId="2" fillId="0" borderId="6" xfId="0" applyFont="1" applyFill="1" applyBorder="1"/>
    <xf numFmtId="0" fontId="2" fillId="0" borderId="11" xfId="0" applyFont="1" applyFill="1" applyBorder="1"/>
    <xf numFmtId="166" fontId="2" fillId="5" borderId="22" xfId="0" applyNumberFormat="1" applyFont="1" applyFill="1" applyBorder="1" applyAlignment="1">
      <alignment horizontal="center"/>
    </xf>
    <xf numFmtId="166" fontId="2" fillId="5" borderId="17" xfId="0" applyNumberFormat="1" applyFont="1" applyFill="1" applyBorder="1" applyAlignment="1">
      <alignment horizontal="center"/>
    </xf>
    <xf numFmtId="166" fontId="2" fillId="5" borderId="8" xfId="0" applyNumberFormat="1" applyFont="1" applyFill="1" applyBorder="1" applyAlignment="1">
      <alignment horizontal="center"/>
    </xf>
    <xf numFmtId="166" fontId="2" fillId="5" borderId="16" xfId="0" applyNumberFormat="1" applyFont="1" applyFill="1" applyBorder="1" applyAlignment="1">
      <alignment horizontal="center"/>
    </xf>
    <xf numFmtId="166" fontId="2" fillId="5" borderId="10" xfId="0" applyNumberFormat="1" applyFont="1" applyFill="1" applyBorder="1" applyAlignment="1">
      <alignment horizontal="center"/>
    </xf>
    <xf numFmtId="166" fontId="2" fillId="5" borderId="18" xfId="0" applyNumberFormat="1" applyFont="1" applyFill="1" applyBorder="1" applyAlignment="1">
      <alignment horizontal="center"/>
    </xf>
    <xf numFmtId="166" fontId="2" fillId="5" borderId="23" xfId="0" applyNumberFormat="1" applyFont="1" applyFill="1" applyBorder="1" applyAlignment="1">
      <alignment horizontal="center"/>
    </xf>
    <xf numFmtId="166" fontId="2" fillId="5" borderId="19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justify"/>
    </xf>
    <xf numFmtId="0" fontId="2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left" vertical="justify"/>
    </xf>
    <xf numFmtId="0" fontId="5" fillId="6" borderId="5" xfId="0" applyFont="1" applyFill="1" applyBorder="1" applyAlignment="1">
      <alignment horizontal="left" vertical="justify"/>
    </xf>
    <xf numFmtId="0" fontId="5" fillId="6" borderId="0" xfId="0" applyFont="1" applyFill="1" applyBorder="1" applyAlignment="1">
      <alignment horizontal="left" vertical="justify"/>
    </xf>
    <xf numFmtId="164" fontId="5" fillId="2" borderId="7" xfId="0" applyNumberFormat="1" applyFont="1" applyFill="1" applyBorder="1" applyAlignment="1">
      <alignment horizontal="left" vertical="justify"/>
    </xf>
    <xf numFmtId="164" fontId="5" fillId="2" borderId="5" xfId="0" applyNumberFormat="1" applyFont="1" applyFill="1" applyBorder="1" applyAlignment="1">
      <alignment horizontal="left" vertical="justify"/>
    </xf>
    <xf numFmtId="164" fontId="5" fillId="2" borderId="9" xfId="0" applyNumberFormat="1" applyFont="1" applyFill="1" applyBorder="1" applyAlignment="1">
      <alignment horizontal="left" vertical="justify"/>
    </xf>
    <xf numFmtId="0" fontId="2" fillId="3" borderId="5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left" vertical="justify"/>
    </xf>
    <xf numFmtId="164" fontId="5" fillId="3" borderId="0" xfId="0" applyNumberFormat="1" applyFont="1" applyFill="1" applyBorder="1" applyAlignment="1">
      <alignment horizontal="left" vertical="justify"/>
    </xf>
    <xf numFmtId="0" fontId="2" fillId="3" borderId="9" xfId="0" applyFont="1" applyFill="1" applyBorder="1" applyAlignment="1">
      <alignment horizontal="center"/>
    </xf>
    <xf numFmtId="165" fontId="5" fillId="3" borderId="10" xfId="0" applyNumberFormat="1" applyFont="1" applyFill="1" applyBorder="1" applyAlignment="1">
      <alignment horizontal="left" vertical="justify"/>
    </xf>
    <xf numFmtId="165" fontId="5" fillId="4" borderId="1" xfId="0" applyNumberFormat="1" applyFont="1" applyFill="1" applyBorder="1" applyAlignment="1">
      <alignment horizontal="left" vertical="justify"/>
    </xf>
    <xf numFmtId="165" fontId="5" fillId="4" borderId="9" xfId="0" applyNumberFormat="1" applyFont="1" applyFill="1" applyBorder="1" applyAlignment="1">
      <alignment horizontal="left" vertical="justify"/>
    </xf>
    <xf numFmtId="0" fontId="2" fillId="7" borderId="5" xfId="0" applyFont="1" applyFill="1" applyBorder="1" applyAlignment="1">
      <alignment horizontal="center"/>
    </xf>
    <xf numFmtId="0" fontId="2" fillId="7" borderId="5" xfId="0" applyFont="1" applyFill="1" applyBorder="1"/>
    <xf numFmtId="0" fontId="2" fillId="7" borderId="9" xfId="0" applyFont="1" applyFill="1" applyBorder="1" applyAlignment="1">
      <alignment horizontal="center"/>
    </xf>
    <xf numFmtId="0" fontId="2" fillId="7" borderId="9" xfId="0" applyFont="1" applyFill="1" applyBorder="1"/>
    <xf numFmtId="0" fontId="2" fillId="8" borderId="5" xfId="0" applyFont="1" applyFill="1" applyBorder="1" applyAlignment="1">
      <alignment horizontal="center"/>
    </xf>
    <xf numFmtId="0" fontId="2" fillId="8" borderId="5" xfId="0" applyFont="1" applyFill="1" applyBorder="1"/>
    <xf numFmtId="0" fontId="2" fillId="8" borderId="9" xfId="0" applyFont="1" applyFill="1" applyBorder="1" applyAlignment="1">
      <alignment horizontal="center"/>
    </xf>
    <xf numFmtId="0" fontId="2" fillId="8" borderId="9" xfId="0" applyFont="1" applyFill="1" applyBorder="1"/>
    <xf numFmtId="0" fontId="2" fillId="9" borderId="2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0" xfId="0" applyFont="1" applyFill="1" applyBorder="1" applyAlignment="1">
      <alignment horizontal="center"/>
    </xf>
    <xf numFmtId="0" fontId="2" fillId="9" borderId="9" xfId="0" applyFont="1" applyFill="1" applyBorder="1"/>
    <xf numFmtId="0" fontId="2" fillId="6" borderId="24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25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6" borderId="26" xfId="0" applyFont="1" applyFill="1" applyBorder="1" applyAlignment="1">
      <alignment horizontal="left"/>
    </xf>
    <xf numFmtId="0" fontId="2" fillId="6" borderId="11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center"/>
    </xf>
    <xf numFmtId="0" fontId="2" fillId="6" borderId="27" xfId="0" applyFont="1" applyFill="1" applyBorder="1" applyAlignment="1">
      <alignment horizontal="left"/>
    </xf>
    <xf numFmtId="0" fontId="2" fillId="6" borderId="14" xfId="0" applyFont="1" applyFill="1" applyBorder="1" applyAlignment="1">
      <alignment horizontal="left"/>
    </xf>
    <xf numFmtId="0" fontId="2" fillId="6" borderId="15" xfId="0" applyFont="1" applyFill="1" applyBorder="1" applyAlignment="1">
      <alignment horizontal="left"/>
    </xf>
    <xf numFmtId="0" fontId="2" fillId="6" borderId="15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2" fontId="2" fillId="2" borderId="9" xfId="0" applyNumberFormat="1" applyFont="1" applyFill="1" applyBorder="1" applyAlignment="1">
      <alignment horizontal="center"/>
    </xf>
    <xf numFmtId="2" fontId="2" fillId="2" borderId="15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166" fontId="2" fillId="7" borderId="22" xfId="0" applyNumberFormat="1" applyFont="1" applyFill="1" applyBorder="1" applyAlignment="1">
      <alignment horizontal="center"/>
    </xf>
    <xf numFmtId="166" fontId="2" fillId="7" borderId="8" xfId="0" applyNumberFormat="1" applyFont="1" applyFill="1" applyBorder="1" applyAlignment="1">
      <alignment horizontal="center"/>
    </xf>
    <xf numFmtId="166" fontId="2" fillId="7" borderId="10" xfId="0" applyNumberFormat="1" applyFont="1" applyFill="1" applyBorder="1" applyAlignment="1">
      <alignment horizontal="center"/>
    </xf>
    <xf numFmtId="166" fontId="2" fillId="7" borderId="23" xfId="0" applyNumberFormat="1" applyFont="1" applyFill="1" applyBorder="1" applyAlignment="1">
      <alignment horizontal="center"/>
    </xf>
    <xf numFmtId="2" fontId="2" fillId="10" borderId="22" xfId="0" applyNumberFormat="1" applyFont="1" applyFill="1" applyBorder="1" applyAlignment="1">
      <alignment horizontal="center"/>
    </xf>
    <xf numFmtId="2" fontId="2" fillId="10" borderId="8" xfId="0" applyNumberFormat="1" applyFont="1" applyFill="1" applyBorder="1" applyAlignment="1">
      <alignment horizontal="center"/>
    </xf>
    <xf numFmtId="2" fontId="2" fillId="10" borderId="10" xfId="0" applyNumberFormat="1" applyFont="1" applyFill="1" applyBorder="1" applyAlignment="1">
      <alignment horizontal="center"/>
    </xf>
    <xf numFmtId="2" fontId="2" fillId="10" borderId="23" xfId="0" applyNumberFormat="1" applyFont="1" applyFill="1" applyBorder="1" applyAlignment="1">
      <alignment horizontal="center"/>
    </xf>
    <xf numFmtId="2" fontId="2" fillId="7" borderId="22" xfId="0" applyNumberFormat="1" applyFont="1" applyFill="1" applyBorder="1" applyAlignment="1">
      <alignment horizontal="center"/>
    </xf>
    <xf numFmtId="2" fontId="2" fillId="7" borderId="8" xfId="0" applyNumberFormat="1" applyFont="1" applyFill="1" applyBorder="1" applyAlignment="1">
      <alignment horizontal="center"/>
    </xf>
    <xf numFmtId="2" fontId="2" fillId="7" borderId="10" xfId="0" applyNumberFormat="1" applyFont="1" applyFill="1" applyBorder="1" applyAlignment="1">
      <alignment horizontal="center"/>
    </xf>
    <xf numFmtId="2" fontId="2" fillId="7" borderId="23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topLeftCell="A54" workbookViewId="0">
      <selection activeCell="A72" sqref="A72"/>
    </sheetView>
  </sheetViews>
  <sheetFormatPr baseColWidth="10" defaultRowHeight="15" x14ac:dyDescent="0.25"/>
  <cols>
    <col min="1" max="1" width="3" customWidth="1"/>
    <col min="2" max="2" width="15.85546875" customWidth="1"/>
    <col min="3" max="3" width="93.42578125" customWidth="1"/>
  </cols>
  <sheetData>
    <row r="1" spans="1:3" s="3" customFormat="1" ht="14.25" x14ac:dyDescent="0.2">
      <c r="A1" s="1" t="s">
        <v>457</v>
      </c>
      <c r="B1" s="2"/>
      <c r="C1" s="2"/>
    </row>
    <row r="2" spans="1:3" s="3" customFormat="1" ht="14.25" x14ac:dyDescent="0.2">
      <c r="A2" s="2" t="s">
        <v>458</v>
      </c>
      <c r="B2" s="4"/>
      <c r="C2" s="2"/>
    </row>
    <row r="3" spans="1:3" s="3" customFormat="1" ht="14.25" x14ac:dyDescent="0.2">
      <c r="A3" s="2" t="s">
        <v>459</v>
      </c>
      <c r="B3" s="4"/>
      <c r="C3" s="2"/>
    </row>
    <row r="4" spans="1:3" s="3" customFormat="1" ht="14.25" x14ac:dyDescent="0.2">
      <c r="A4" s="2" t="s">
        <v>14</v>
      </c>
      <c r="B4" s="2"/>
      <c r="C4" s="2"/>
    </row>
    <row r="5" spans="1:3" s="3" customFormat="1" ht="14.25" x14ac:dyDescent="0.2">
      <c r="A5" s="2" t="s">
        <v>488</v>
      </c>
      <c r="B5" s="2"/>
      <c r="C5" s="2"/>
    </row>
    <row r="6" spans="1:3" s="3" customFormat="1" ht="14.25" x14ac:dyDescent="0.2">
      <c r="A6" s="2"/>
      <c r="B6" s="2"/>
      <c r="C6" s="2"/>
    </row>
    <row r="7" spans="1:3" s="3" customFormat="1" ht="14.25" x14ac:dyDescent="0.2">
      <c r="A7" s="5" t="s">
        <v>0</v>
      </c>
      <c r="B7" s="6" t="s">
        <v>1</v>
      </c>
      <c r="C7" s="7" t="s">
        <v>2</v>
      </c>
    </row>
    <row r="8" spans="1:3" s="3" customFormat="1" ht="14.25" x14ac:dyDescent="0.2">
      <c r="A8" s="49">
        <v>1</v>
      </c>
      <c r="B8" s="50" t="s">
        <v>5</v>
      </c>
      <c r="C8" s="9" t="s">
        <v>6</v>
      </c>
    </row>
    <row r="9" spans="1:3" s="3" customFormat="1" ht="14.25" x14ac:dyDescent="0.2">
      <c r="A9" s="51">
        <v>2</v>
      </c>
      <c r="B9" s="52" t="s">
        <v>3</v>
      </c>
      <c r="C9" s="10" t="s">
        <v>4</v>
      </c>
    </row>
    <row r="10" spans="1:3" s="3" customFormat="1" ht="14.25" x14ac:dyDescent="0.2">
      <c r="A10" s="51">
        <v>4</v>
      </c>
      <c r="B10" s="53" t="s">
        <v>7</v>
      </c>
      <c r="C10" s="12" t="s">
        <v>460</v>
      </c>
    </row>
    <row r="11" spans="1:3" s="3" customFormat="1" ht="14.25" x14ac:dyDescent="0.2">
      <c r="A11" s="51">
        <v>5</v>
      </c>
      <c r="B11" s="54" t="s">
        <v>445</v>
      </c>
      <c r="C11" s="12" t="s">
        <v>446</v>
      </c>
    </row>
    <row r="12" spans="1:3" s="3" customFormat="1" ht="14.25" x14ac:dyDescent="0.2">
      <c r="A12" s="8">
        <v>6</v>
      </c>
      <c r="B12" s="55" t="s">
        <v>18</v>
      </c>
      <c r="C12" s="13" t="s">
        <v>461</v>
      </c>
    </row>
    <row r="13" spans="1:3" s="3" customFormat="1" ht="14.25" x14ac:dyDescent="0.2">
      <c r="A13" s="11">
        <v>7</v>
      </c>
      <c r="B13" s="56" t="s">
        <v>19</v>
      </c>
      <c r="C13" s="30" t="s">
        <v>462</v>
      </c>
    </row>
    <row r="14" spans="1:3" s="3" customFormat="1" ht="14.25" x14ac:dyDescent="0.2">
      <c r="A14" s="11">
        <v>8</v>
      </c>
      <c r="B14" s="56" t="s">
        <v>20</v>
      </c>
      <c r="C14" s="30" t="s">
        <v>463</v>
      </c>
    </row>
    <row r="15" spans="1:3" s="3" customFormat="1" ht="14.25" x14ac:dyDescent="0.2">
      <c r="A15" s="11">
        <v>9</v>
      </c>
      <c r="B15" s="56" t="s">
        <v>32</v>
      </c>
      <c r="C15" s="30" t="s">
        <v>34</v>
      </c>
    </row>
    <row r="16" spans="1:3" s="3" customFormat="1" ht="14.25" x14ac:dyDescent="0.2">
      <c r="A16" s="11">
        <v>10</v>
      </c>
      <c r="B16" s="56" t="s">
        <v>33</v>
      </c>
      <c r="C16" s="30" t="s">
        <v>36</v>
      </c>
    </row>
    <row r="17" spans="1:3" s="3" customFormat="1" ht="14.25" x14ac:dyDescent="0.2">
      <c r="A17" s="32">
        <v>11</v>
      </c>
      <c r="B17" s="57" t="s">
        <v>8</v>
      </c>
      <c r="C17" s="31" t="s">
        <v>9</v>
      </c>
    </row>
    <row r="18" spans="1:3" s="3" customFormat="1" ht="14.25" x14ac:dyDescent="0.2">
      <c r="A18" s="58">
        <v>12</v>
      </c>
      <c r="B18" s="59" t="s">
        <v>21</v>
      </c>
      <c r="C18" s="14" t="s">
        <v>485</v>
      </c>
    </row>
    <row r="19" spans="1:3" s="3" customFormat="1" ht="14.25" x14ac:dyDescent="0.2">
      <c r="A19" s="58">
        <v>13</v>
      </c>
      <c r="B19" s="60" t="s">
        <v>22</v>
      </c>
      <c r="C19" s="12" t="s">
        <v>486</v>
      </c>
    </row>
    <row r="20" spans="1:3" s="3" customFormat="1" ht="14.25" x14ac:dyDescent="0.2">
      <c r="A20" s="61">
        <v>14</v>
      </c>
      <c r="B20" s="62" t="s">
        <v>23</v>
      </c>
      <c r="C20" s="15" t="s">
        <v>487</v>
      </c>
    </row>
    <row r="21" spans="1:3" s="3" customFormat="1" ht="14.25" x14ac:dyDescent="0.2">
      <c r="A21" s="35">
        <v>15</v>
      </c>
      <c r="B21" s="63" t="s">
        <v>25</v>
      </c>
      <c r="C21" s="28" t="s">
        <v>464</v>
      </c>
    </row>
    <row r="22" spans="1:3" s="3" customFormat="1" ht="14.25" x14ac:dyDescent="0.2">
      <c r="A22" s="34">
        <v>16</v>
      </c>
      <c r="B22" s="64" t="s">
        <v>24</v>
      </c>
      <c r="C22" s="15" t="s">
        <v>31</v>
      </c>
    </row>
    <row r="23" spans="1:3" s="3" customFormat="1" ht="14.25" x14ac:dyDescent="0.2">
      <c r="A23" s="65">
        <v>17</v>
      </c>
      <c r="B23" s="66" t="s">
        <v>453</v>
      </c>
      <c r="C23" s="37" t="s">
        <v>489</v>
      </c>
    </row>
    <row r="24" spans="1:3" s="3" customFormat="1" ht="14.25" x14ac:dyDescent="0.2">
      <c r="A24" s="116">
        <v>18</v>
      </c>
      <c r="B24" s="66" t="s">
        <v>454</v>
      </c>
      <c r="C24" s="37" t="s">
        <v>490</v>
      </c>
    </row>
    <row r="25" spans="1:3" s="3" customFormat="1" ht="14.25" x14ac:dyDescent="0.2">
      <c r="A25" s="67">
        <v>19</v>
      </c>
      <c r="B25" s="68" t="s">
        <v>491</v>
      </c>
      <c r="C25" s="16" t="s">
        <v>492</v>
      </c>
    </row>
    <row r="26" spans="1:3" s="3" customFormat="1" ht="14.25" x14ac:dyDescent="0.2">
      <c r="A26" s="69">
        <v>20</v>
      </c>
      <c r="B26" s="70" t="s">
        <v>37</v>
      </c>
      <c r="C26" s="37" t="s">
        <v>449</v>
      </c>
    </row>
    <row r="27" spans="1:3" s="3" customFormat="1" ht="14.25" x14ac:dyDescent="0.2">
      <c r="A27" s="69">
        <v>21</v>
      </c>
      <c r="B27" s="70" t="s">
        <v>38</v>
      </c>
      <c r="C27" s="37" t="s">
        <v>449</v>
      </c>
    </row>
    <row r="28" spans="1:3" s="3" customFormat="1" ht="14.25" x14ac:dyDescent="0.2">
      <c r="A28" s="71">
        <v>22</v>
      </c>
      <c r="B28" s="72" t="s">
        <v>39</v>
      </c>
      <c r="C28" s="16" t="s">
        <v>449</v>
      </c>
    </row>
    <row r="29" spans="1:3" s="3" customFormat="1" ht="14.25" x14ac:dyDescent="0.2">
      <c r="A29" s="73">
        <v>23</v>
      </c>
      <c r="B29" s="74" t="s">
        <v>450</v>
      </c>
      <c r="C29" s="39" t="s">
        <v>455</v>
      </c>
    </row>
    <row r="30" spans="1:3" s="3" customFormat="1" ht="14.25" x14ac:dyDescent="0.2">
      <c r="A30" s="75">
        <v>24</v>
      </c>
      <c r="B30" s="76" t="s">
        <v>451</v>
      </c>
      <c r="C30" s="40" t="s">
        <v>456</v>
      </c>
    </row>
    <row r="31" spans="1:3" s="3" customFormat="1" ht="14.25" x14ac:dyDescent="0.2"/>
    <row r="32" spans="1:3" s="3" customFormat="1" x14ac:dyDescent="0.25">
      <c r="A32" s="17" t="s">
        <v>10</v>
      </c>
    </row>
    <row r="33" spans="1:1" s="3" customFormat="1" ht="14.25" x14ac:dyDescent="0.2">
      <c r="A33" s="2" t="s">
        <v>465</v>
      </c>
    </row>
    <row r="34" spans="1:1" s="3" customFormat="1" ht="14.25" x14ac:dyDescent="0.2">
      <c r="A34" s="2" t="s">
        <v>470</v>
      </c>
    </row>
    <row r="35" spans="1:1" s="3" customFormat="1" ht="14.25" x14ac:dyDescent="0.2">
      <c r="A35" s="2" t="s">
        <v>471</v>
      </c>
    </row>
    <row r="36" spans="1:1" s="3" customFormat="1" ht="14.25" x14ac:dyDescent="0.2">
      <c r="A36" s="2" t="s">
        <v>466</v>
      </c>
    </row>
    <row r="37" spans="1:1" s="3" customFormat="1" ht="14.25" x14ac:dyDescent="0.2">
      <c r="A37" s="2" t="s">
        <v>467</v>
      </c>
    </row>
    <row r="38" spans="1:1" s="3" customFormat="1" ht="14.25" x14ac:dyDescent="0.2">
      <c r="A38" s="2" t="s">
        <v>468</v>
      </c>
    </row>
    <row r="39" spans="1:1" s="3" customFormat="1" ht="14.25" x14ac:dyDescent="0.2">
      <c r="A39" s="2" t="s">
        <v>469</v>
      </c>
    </row>
    <row r="40" spans="1:1" s="3" customFormat="1" ht="14.25" x14ac:dyDescent="0.2">
      <c r="A40" s="2"/>
    </row>
    <row r="41" spans="1:1" s="2" customFormat="1" ht="12.75" x14ac:dyDescent="0.2">
      <c r="A41" s="2" t="s">
        <v>472</v>
      </c>
    </row>
    <row r="42" spans="1:1" s="2" customFormat="1" ht="12.75" x14ac:dyDescent="0.2">
      <c r="A42" s="2" t="s">
        <v>473</v>
      </c>
    </row>
    <row r="43" spans="1:1" s="2" customFormat="1" ht="12.75" x14ac:dyDescent="0.2"/>
    <row r="44" spans="1:1" s="2" customFormat="1" ht="12.75" x14ac:dyDescent="0.2">
      <c r="A44" s="2" t="s">
        <v>474</v>
      </c>
    </row>
    <row r="45" spans="1:1" s="2" customFormat="1" ht="12.75" x14ac:dyDescent="0.2"/>
    <row r="46" spans="1:1" s="2" customFormat="1" ht="12.75" x14ac:dyDescent="0.2">
      <c r="A46" s="2" t="s">
        <v>35</v>
      </c>
    </row>
    <row r="47" spans="1:1" s="2" customFormat="1" ht="12.75" x14ac:dyDescent="0.2">
      <c r="A47" s="2" t="s">
        <v>475</v>
      </c>
    </row>
    <row r="48" spans="1:1" s="2" customFormat="1" ht="12.75" x14ac:dyDescent="0.2"/>
    <row r="49" spans="1:1" s="2" customFormat="1" ht="12.75" x14ac:dyDescent="0.2">
      <c r="A49" s="38" t="s">
        <v>493</v>
      </c>
    </row>
    <row r="50" spans="1:1" s="2" customFormat="1" ht="12.75" x14ac:dyDescent="0.2">
      <c r="A50" s="38"/>
    </row>
    <row r="51" spans="1:1" s="2" customFormat="1" ht="12.75" x14ac:dyDescent="0.2">
      <c r="A51" s="38" t="s">
        <v>483</v>
      </c>
    </row>
    <row r="52" spans="1:1" s="2" customFormat="1" ht="12.75" x14ac:dyDescent="0.2">
      <c r="A52" s="38"/>
    </row>
    <row r="53" spans="1:1" s="2" customFormat="1" x14ac:dyDescent="0.25">
      <c r="A53" s="18" t="s">
        <v>11</v>
      </c>
    </row>
    <row r="54" spans="1:1" s="2" customFormat="1" ht="12.75" x14ac:dyDescent="0.2">
      <c r="A54" s="19" t="s">
        <v>476</v>
      </c>
    </row>
    <row r="55" spans="1:1" s="2" customFormat="1" ht="12.75" x14ac:dyDescent="0.2">
      <c r="A55" s="2" t="s">
        <v>12</v>
      </c>
    </row>
    <row r="56" spans="1:1" s="2" customFormat="1" ht="12.75" x14ac:dyDescent="0.2">
      <c r="A56" s="20" t="s">
        <v>479</v>
      </c>
    </row>
    <row r="57" spans="1:1" s="2" customFormat="1" ht="12.75" x14ac:dyDescent="0.2"/>
    <row r="58" spans="1:1" s="2" customFormat="1" ht="12.75" x14ac:dyDescent="0.2">
      <c r="A58" s="21" t="s">
        <v>477</v>
      </c>
    </row>
    <row r="59" spans="1:1" s="2" customFormat="1" ht="12.75" x14ac:dyDescent="0.2">
      <c r="A59" s="2" t="s">
        <v>13</v>
      </c>
    </row>
    <row r="60" spans="1:1" s="2" customFormat="1" ht="12.75" x14ac:dyDescent="0.2">
      <c r="A60" s="2" t="s">
        <v>478</v>
      </c>
    </row>
    <row r="62" spans="1:1" s="2" customFormat="1" ht="12.75" x14ac:dyDescent="0.2">
      <c r="A62" s="21" t="s">
        <v>480</v>
      </c>
    </row>
    <row r="63" spans="1:1" s="2" customFormat="1" ht="12.75" x14ac:dyDescent="0.2">
      <c r="A63" s="2" t="s">
        <v>481</v>
      </c>
    </row>
    <row r="64" spans="1:1" s="2" customFormat="1" ht="12.75" x14ac:dyDescent="0.2">
      <c r="A64" s="2" t="s">
        <v>482</v>
      </c>
    </row>
    <row r="66" spans="1:1" s="3" customFormat="1" ht="14.25" x14ac:dyDescent="0.2">
      <c r="A66" s="21" t="s">
        <v>494</v>
      </c>
    </row>
    <row r="67" spans="1:1" s="3" customFormat="1" ht="14.25" x14ac:dyDescent="0.2">
      <c r="A67" s="2" t="s">
        <v>452</v>
      </c>
    </row>
    <row r="68" spans="1:1" s="3" customFormat="1" ht="14.25" x14ac:dyDescent="0.2">
      <c r="A68" s="2" t="s">
        <v>484</v>
      </c>
    </row>
    <row r="70" spans="1:1" s="3" customFormat="1" ht="14.25" x14ac:dyDescent="0.2">
      <c r="A70" s="21" t="s">
        <v>496</v>
      </c>
    </row>
    <row r="71" spans="1:1" s="3" customFormat="1" ht="14.25" x14ac:dyDescent="0.2">
      <c r="A71" s="2" t="s">
        <v>495</v>
      </c>
    </row>
    <row r="72" spans="1:1" s="3" customFormat="1" ht="14.25" x14ac:dyDescent="0.2">
      <c r="A72" s="2" t="s">
        <v>497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50"/>
  <sheetViews>
    <sheetView zoomScale="70" zoomScaleNormal="70" workbookViewId="0">
      <selection activeCell="X1" sqref="X1:AC1048576"/>
    </sheetView>
  </sheetViews>
  <sheetFormatPr baseColWidth="10" defaultRowHeight="15" x14ac:dyDescent="0.25"/>
  <cols>
    <col min="1" max="1" width="3.5703125" style="24" customWidth="1"/>
    <col min="2" max="2" width="23.28515625" style="24" customWidth="1"/>
    <col min="3" max="4" width="15.5703125" style="24" customWidth="1"/>
    <col min="5" max="5" width="11.7109375" style="26" customWidth="1"/>
    <col min="6" max="6" width="9.42578125" style="26" customWidth="1"/>
    <col min="7" max="9" width="9.5703125" style="26" customWidth="1"/>
    <col min="10" max="10" width="8.28515625" style="26" customWidth="1"/>
    <col min="11" max="11" width="7.28515625" style="26" customWidth="1"/>
    <col min="12" max="12" width="7" style="26" customWidth="1"/>
    <col min="13" max="13" width="8.85546875" style="26" customWidth="1"/>
    <col min="14" max="22" width="8.5703125" style="25" customWidth="1"/>
    <col min="23" max="23" width="11" style="25" customWidth="1"/>
  </cols>
  <sheetData>
    <row r="1" spans="1:23" ht="15.75" thickBot="1" x14ac:dyDescent="0.3">
      <c r="A1" s="23" t="s">
        <v>5</v>
      </c>
      <c r="B1" s="22" t="s">
        <v>3</v>
      </c>
      <c r="C1" s="23" t="s">
        <v>7</v>
      </c>
      <c r="D1" s="23" t="s">
        <v>445</v>
      </c>
      <c r="E1" s="23" t="s">
        <v>447</v>
      </c>
      <c r="F1" s="23" t="s">
        <v>26</v>
      </c>
      <c r="G1" s="23" t="s">
        <v>27</v>
      </c>
      <c r="H1" s="23" t="s">
        <v>32</v>
      </c>
      <c r="I1" s="23" t="s">
        <v>33</v>
      </c>
      <c r="J1" s="23" t="s">
        <v>8</v>
      </c>
      <c r="K1" s="23" t="s">
        <v>448</v>
      </c>
      <c r="L1" s="23" t="s">
        <v>28</v>
      </c>
      <c r="M1" s="23" t="s">
        <v>23</v>
      </c>
      <c r="N1" s="29" t="s">
        <v>30</v>
      </c>
      <c r="O1" s="23" t="s">
        <v>29</v>
      </c>
      <c r="P1" s="29" t="s">
        <v>453</v>
      </c>
      <c r="Q1" s="29" t="s">
        <v>454</v>
      </c>
      <c r="R1" s="29" t="s">
        <v>491</v>
      </c>
      <c r="S1" s="29" t="s">
        <v>37</v>
      </c>
      <c r="T1" s="29" t="s">
        <v>38</v>
      </c>
      <c r="U1" s="29" t="s">
        <v>39</v>
      </c>
      <c r="V1" s="29" t="s">
        <v>450</v>
      </c>
      <c r="W1" s="29" t="s">
        <v>451</v>
      </c>
    </row>
    <row r="2" spans="1:23" x14ac:dyDescent="0.25">
      <c r="A2" s="77">
        <v>1</v>
      </c>
      <c r="B2" s="78" t="s">
        <v>15</v>
      </c>
      <c r="C2" s="79" t="s">
        <v>40</v>
      </c>
      <c r="D2" s="49">
        <v>0</v>
      </c>
      <c r="E2" s="91">
        <v>57.34</v>
      </c>
      <c r="F2" s="91">
        <v>26.94</v>
      </c>
      <c r="G2" s="91">
        <v>71</v>
      </c>
      <c r="H2" s="91">
        <v>24.5</v>
      </c>
      <c r="I2" s="91">
        <f>100*(G2-E2)/H2</f>
        <v>55.76</v>
      </c>
      <c r="J2" s="91">
        <f>100*(G2-E2)/F2</f>
        <v>50.71</v>
      </c>
      <c r="K2" s="96">
        <v>192</v>
      </c>
      <c r="L2" s="96">
        <v>770</v>
      </c>
      <c r="M2" s="96">
        <v>38</v>
      </c>
      <c r="N2" s="99">
        <v>0.95</v>
      </c>
      <c r="O2" s="100">
        <v>53</v>
      </c>
      <c r="P2" s="104">
        <v>2.8400000000000002E-2</v>
      </c>
      <c r="Q2" s="112">
        <v>0.54</v>
      </c>
      <c r="R2" s="104">
        <v>5.1400000000000001E-2</v>
      </c>
      <c r="S2" s="108">
        <v>41.87</v>
      </c>
      <c r="T2" s="108">
        <v>7.35</v>
      </c>
      <c r="U2" s="108">
        <v>910.85</v>
      </c>
      <c r="V2" s="41">
        <v>1.1161000000000001</v>
      </c>
      <c r="W2" s="42">
        <v>1.5599999999999999E-2</v>
      </c>
    </row>
    <row r="3" spans="1:23" x14ac:dyDescent="0.25">
      <c r="A3" s="80">
        <v>1</v>
      </c>
      <c r="B3" s="81" t="s">
        <v>15</v>
      </c>
      <c r="C3" s="82" t="s">
        <v>41</v>
      </c>
      <c r="D3" s="51">
        <v>0</v>
      </c>
      <c r="E3" s="92">
        <v>57.34</v>
      </c>
      <c r="F3" s="92">
        <v>26.94</v>
      </c>
      <c r="G3" s="93">
        <v>70.930000000000007</v>
      </c>
      <c r="H3" s="93">
        <v>24.5</v>
      </c>
      <c r="I3" s="93">
        <f>100*(G3-E3)/H3</f>
        <v>55.47</v>
      </c>
      <c r="J3" s="92">
        <f>100*(G3-E3)/F3</f>
        <v>50.45</v>
      </c>
      <c r="K3" s="97">
        <v>192</v>
      </c>
      <c r="L3" s="58">
        <v>770</v>
      </c>
      <c r="M3" s="58">
        <v>38</v>
      </c>
      <c r="N3" s="101">
        <v>0.95</v>
      </c>
      <c r="O3" s="33">
        <v>53</v>
      </c>
      <c r="P3" s="105">
        <v>2.76E-2</v>
      </c>
      <c r="Q3" s="113">
        <v>0.54</v>
      </c>
      <c r="R3" s="105">
        <v>5.21E-2</v>
      </c>
      <c r="S3" s="109">
        <v>41.87</v>
      </c>
      <c r="T3" s="109">
        <v>7.35</v>
      </c>
      <c r="U3" s="109">
        <v>910.85</v>
      </c>
      <c r="V3" s="43">
        <v>1.1161000000000001</v>
      </c>
      <c r="W3" s="44">
        <v>1.5599999999999999E-2</v>
      </c>
    </row>
    <row r="4" spans="1:23" x14ac:dyDescent="0.25">
      <c r="A4" s="80">
        <v>1</v>
      </c>
      <c r="B4" s="81" t="s">
        <v>15</v>
      </c>
      <c r="C4" s="82" t="s">
        <v>42</v>
      </c>
      <c r="D4" s="51">
        <v>0</v>
      </c>
      <c r="E4" s="92">
        <v>57.34</v>
      </c>
      <c r="F4" s="92">
        <v>26.94</v>
      </c>
      <c r="G4" s="92">
        <v>70.83</v>
      </c>
      <c r="H4" s="93">
        <v>24.5</v>
      </c>
      <c r="I4" s="93">
        <f t="shared" ref="I4:I67" si="0">100*(G4-E4)/H4</f>
        <v>55.06</v>
      </c>
      <c r="J4" s="92">
        <f t="shared" ref="J4:J67" si="1">100*(G4-E4)/F4</f>
        <v>50.07</v>
      </c>
      <c r="K4" s="58">
        <v>192</v>
      </c>
      <c r="L4" s="58">
        <v>770</v>
      </c>
      <c r="M4" s="58">
        <v>38</v>
      </c>
      <c r="N4" s="101">
        <v>0.95</v>
      </c>
      <c r="O4" s="33">
        <v>53</v>
      </c>
      <c r="P4" s="105">
        <v>2.75E-2</v>
      </c>
      <c r="Q4" s="113">
        <v>0.54</v>
      </c>
      <c r="R4" s="105">
        <v>5.3800000000000001E-2</v>
      </c>
      <c r="S4" s="109">
        <v>41.87</v>
      </c>
      <c r="T4" s="109">
        <v>7.35</v>
      </c>
      <c r="U4" s="109">
        <v>910.85</v>
      </c>
      <c r="V4" s="43">
        <v>1.1161000000000001</v>
      </c>
      <c r="W4" s="44">
        <v>1.5599999999999999E-2</v>
      </c>
    </row>
    <row r="5" spans="1:23" x14ac:dyDescent="0.25">
      <c r="A5" s="80">
        <v>1</v>
      </c>
      <c r="B5" s="81" t="s">
        <v>15</v>
      </c>
      <c r="C5" s="82" t="s">
        <v>43</v>
      </c>
      <c r="D5" s="51">
        <v>0</v>
      </c>
      <c r="E5" s="92">
        <v>57.34</v>
      </c>
      <c r="F5" s="92">
        <v>26.94</v>
      </c>
      <c r="G5" s="92">
        <v>70.73</v>
      </c>
      <c r="H5" s="93">
        <v>24.5</v>
      </c>
      <c r="I5" s="93">
        <f t="shared" si="0"/>
        <v>54.65</v>
      </c>
      <c r="J5" s="92">
        <f t="shared" si="1"/>
        <v>49.7</v>
      </c>
      <c r="K5" s="58">
        <v>192</v>
      </c>
      <c r="L5" s="58">
        <v>770</v>
      </c>
      <c r="M5" s="58">
        <v>38</v>
      </c>
      <c r="N5" s="101">
        <v>0.95</v>
      </c>
      <c r="O5" s="33">
        <v>53</v>
      </c>
      <c r="P5" s="105">
        <v>5.8999999999999999E-3</v>
      </c>
      <c r="Q5" s="113">
        <v>0.96</v>
      </c>
      <c r="R5" s="105">
        <v>4.6399999999999997E-2</v>
      </c>
      <c r="S5" s="109">
        <v>41.87</v>
      </c>
      <c r="T5" s="109">
        <v>7.35</v>
      </c>
      <c r="U5" s="109">
        <v>910.85</v>
      </c>
      <c r="V5" s="43">
        <v>1.1161000000000001</v>
      </c>
      <c r="W5" s="44">
        <v>1.5599999999999999E-2</v>
      </c>
    </row>
    <row r="6" spans="1:23" x14ac:dyDescent="0.25">
      <c r="A6" s="80">
        <v>1</v>
      </c>
      <c r="B6" s="81" t="s">
        <v>15</v>
      </c>
      <c r="C6" s="82" t="s">
        <v>44</v>
      </c>
      <c r="D6" s="51">
        <v>0</v>
      </c>
      <c r="E6" s="92">
        <v>57.34</v>
      </c>
      <c r="F6" s="92">
        <v>26.94</v>
      </c>
      <c r="G6" s="92">
        <v>70.63</v>
      </c>
      <c r="H6" s="93">
        <v>24.5</v>
      </c>
      <c r="I6" s="93">
        <f t="shared" si="0"/>
        <v>54.24</v>
      </c>
      <c r="J6" s="92">
        <f t="shared" si="1"/>
        <v>49.33</v>
      </c>
      <c r="K6" s="58">
        <v>192</v>
      </c>
      <c r="L6" s="58">
        <v>770</v>
      </c>
      <c r="M6" s="58">
        <v>38</v>
      </c>
      <c r="N6" s="101">
        <v>0.95</v>
      </c>
      <c r="O6" s="33">
        <v>53</v>
      </c>
      <c r="P6" s="105">
        <v>5.4999999999999997E-3</v>
      </c>
      <c r="Q6" s="113">
        <v>0.97</v>
      </c>
      <c r="R6" s="105">
        <v>4.9000000000000002E-2</v>
      </c>
      <c r="S6" s="109">
        <v>41.87</v>
      </c>
      <c r="T6" s="109">
        <v>7.35</v>
      </c>
      <c r="U6" s="109">
        <v>910.85</v>
      </c>
      <c r="V6" s="43">
        <v>1.1161000000000001</v>
      </c>
      <c r="W6" s="44">
        <v>1.5599999999999999E-2</v>
      </c>
    </row>
    <row r="7" spans="1:23" s="27" customFormat="1" x14ac:dyDescent="0.25">
      <c r="A7" s="80">
        <v>1</v>
      </c>
      <c r="B7" s="81" t="s">
        <v>15</v>
      </c>
      <c r="C7" s="82" t="s">
        <v>45</v>
      </c>
      <c r="D7" s="51">
        <v>0</v>
      </c>
      <c r="E7" s="92">
        <v>57.34</v>
      </c>
      <c r="F7" s="92">
        <v>26.94</v>
      </c>
      <c r="G7" s="92">
        <v>70.52</v>
      </c>
      <c r="H7" s="93">
        <v>24.5</v>
      </c>
      <c r="I7" s="93">
        <f t="shared" si="0"/>
        <v>53.8</v>
      </c>
      <c r="J7" s="92">
        <f t="shared" si="1"/>
        <v>48.92</v>
      </c>
      <c r="K7" s="58">
        <v>192</v>
      </c>
      <c r="L7" s="58">
        <v>770</v>
      </c>
      <c r="M7" s="58">
        <v>38</v>
      </c>
      <c r="N7" s="101">
        <v>0.95</v>
      </c>
      <c r="O7" s="33">
        <v>53</v>
      </c>
      <c r="P7" s="105">
        <v>5.5999999999999999E-3</v>
      </c>
      <c r="Q7" s="113">
        <v>0.97</v>
      </c>
      <c r="R7" s="105">
        <v>4.8500000000000001E-2</v>
      </c>
      <c r="S7" s="109">
        <v>41.87</v>
      </c>
      <c r="T7" s="109">
        <v>7.35</v>
      </c>
      <c r="U7" s="109">
        <v>910.85</v>
      </c>
      <c r="V7" s="43">
        <v>1.1161000000000001</v>
      </c>
      <c r="W7" s="44">
        <v>1.5599999999999999E-2</v>
      </c>
    </row>
    <row r="8" spans="1:23" x14ac:dyDescent="0.25">
      <c r="A8" s="80">
        <v>1</v>
      </c>
      <c r="B8" s="81" t="s">
        <v>15</v>
      </c>
      <c r="C8" s="82" t="s">
        <v>46</v>
      </c>
      <c r="D8" s="51">
        <v>0</v>
      </c>
      <c r="E8" s="92">
        <v>57.34</v>
      </c>
      <c r="F8" s="92">
        <v>26.94</v>
      </c>
      <c r="G8" s="92">
        <v>70.41</v>
      </c>
      <c r="H8" s="93">
        <v>24.5</v>
      </c>
      <c r="I8" s="93">
        <f t="shared" si="0"/>
        <v>53.35</v>
      </c>
      <c r="J8" s="92">
        <f t="shared" si="1"/>
        <v>48.52</v>
      </c>
      <c r="K8" s="58">
        <v>192</v>
      </c>
      <c r="L8" s="58">
        <v>770</v>
      </c>
      <c r="M8" s="58">
        <v>38</v>
      </c>
      <c r="N8" s="101">
        <v>0.95</v>
      </c>
      <c r="O8" s="33">
        <v>53</v>
      </c>
      <c r="P8" s="105">
        <v>5.5999999999999999E-3</v>
      </c>
      <c r="Q8" s="113">
        <v>0.97</v>
      </c>
      <c r="R8" s="105">
        <v>4.7800000000000002E-2</v>
      </c>
      <c r="S8" s="109">
        <v>41.87</v>
      </c>
      <c r="T8" s="109">
        <v>7.35</v>
      </c>
      <c r="U8" s="109">
        <v>910.85</v>
      </c>
      <c r="V8" s="43">
        <v>1.1161000000000001</v>
      </c>
      <c r="W8" s="44">
        <v>1.5599999999999999E-2</v>
      </c>
    </row>
    <row r="9" spans="1:23" x14ac:dyDescent="0.25">
      <c r="A9" s="80">
        <v>1</v>
      </c>
      <c r="B9" s="81" t="s">
        <v>15</v>
      </c>
      <c r="C9" s="82" t="s">
        <v>47</v>
      </c>
      <c r="D9" s="51">
        <v>0</v>
      </c>
      <c r="E9" s="92">
        <v>57.34</v>
      </c>
      <c r="F9" s="92">
        <v>26.94</v>
      </c>
      <c r="G9" s="92">
        <v>70.3</v>
      </c>
      <c r="H9" s="93">
        <v>24.5</v>
      </c>
      <c r="I9" s="93">
        <f t="shared" si="0"/>
        <v>52.9</v>
      </c>
      <c r="J9" s="92">
        <f t="shared" si="1"/>
        <v>48.11</v>
      </c>
      <c r="K9" s="58">
        <v>192</v>
      </c>
      <c r="L9" s="58">
        <v>770</v>
      </c>
      <c r="M9" s="58">
        <v>38</v>
      </c>
      <c r="N9" s="101">
        <v>0.95</v>
      </c>
      <c r="O9" s="33">
        <v>53</v>
      </c>
      <c r="P9" s="105">
        <v>2.7900000000000001E-2</v>
      </c>
      <c r="Q9" s="113">
        <v>0.52</v>
      </c>
      <c r="R9" s="105">
        <v>6.2600000000000003E-2</v>
      </c>
      <c r="S9" s="109">
        <v>41.87</v>
      </c>
      <c r="T9" s="109">
        <v>7.35</v>
      </c>
      <c r="U9" s="109">
        <v>910.85</v>
      </c>
      <c r="V9" s="43">
        <v>1.1161000000000001</v>
      </c>
      <c r="W9" s="44">
        <v>1.5599999999999999E-2</v>
      </c>
    </row>
    <row r="10" spans="1:23" x14ac:dyDescent="0.25">
      <c r="A10" s="80">
        <v>1</v>
      </c>
      <c r="B10" s="81" t="s">
        <v>15</v>
      </c>
      <c r="C10" s="82" t="s">
        <v>48</v>
      </c>
      <c r="D10" s="51">
        <v>0</v>
      </c>
      <c r="E10" s="92">
        <v>57.34</v>
      </c>
      <c r="F10" s="92">
        <v>26.94</v>
      </c>
      <c r="G10" s="92">
        <v>70.180000000000007</v>
      </c>
      <c r="H10" s="93">
        <v>24.5</v>
      </c>
      <c r="I10" s="93">
        <f t="shared" si="0"/>
        <v>52.41</v>
      </c>
      <c r="J10" s="92">
        <f t="shared" si="1"/>
        <v>47.66</v>
      </c>
      <c r="K10" s="58">
        <v>192</v>
      </c>
      <c r="L10" s="58">
        <v>770</v>
      </c>
      <c r="M10" s="58">
        <v>38</v>
      </c>
      <c r="N10" s="101">
        <v>0.95</v>
      </c>
      <c r="O10" s="33">
        <v>53</v>
      </c>
      <c r="P10" s="105">
        <v>2.58E-2</v>
      </c>
      <c r="Q10" s="113">
        <v>0.54</v>
      </c>
      <c r="R10" s="105">
        <v>6.4899999999999999E-2</v>
      </c>
      <c r="S10" s="109">
        <v>41.87</v>
      </c>
      <c r="T10" s="109">
        <v>7.35</v>
      </c>
      <c r="U10" s="109">
        <v>910.85</v>
      </c>
      <c r="V10" s="43">
        <v>1.1161000000000001</v>
      </c>
      <c r="W10" s="44">
        <v>1.5599999999999999E-2</v>
      </c>
    </row>
    <row r="11" spans="1:23" x14ac:dyDescent="0.25">
      <c r="A11" s="80">
        <v>1</v>
      </c>
      <c r="B11" s="81" t="s">
        <v>15</v>
      </c>
      <c r="C11" s="82" t="s">
        <v>49</v>
      </c>
      <c r="D11" s="51">
        <v>0</v>
      </c>
      <c r="E11" s="92">
        <v>57.34</v>
      </c>
      <c r="F11" s="92">
        <v>26.94</v>
      </c>
      <c r="G11" s="92">
        <v>70.069999999999993</v>
      </c>
      <c r="H11" s="93">
        <v>24.5</v>
      </c>
      <c r="I11" s="93">
        <f t="shared" si="0"/>
        <v>51.96</v>
      </c>
      <c r="J11" s="92">
        <f t="shared" si="1"/>
        <v>47.25</v>
      </c>
      <c r="K11" s="58">
        <v>192</v>
      </c>
      <c r="L11" s="58">
        <v>770</v>
      </c>
      <c r="M11" s="58">
        <v>38</v>
      </c>
      <c r="N11" s="101">
        <v>0.95</v>
      </c>
      <c r="O11" s="33">
        <v>53</v>
      </c>
      <c r="P11" s="105">
        <v>2.7400000000000001E-2</v>
      </c>
      <c r="Q11" s="113">
        <v>0.53</v>
      </c>
      <c r="R11" s="105">
        <v>6.4799999999999996E-2</v>
      </c>
      <c r="S11" s="109">
        <v>41.87</v>
      </c>
      <c r="T11" s="109">
        <v>7.35</v>
      </c>
      <c r="U11" s="109">
        <v>910.85</v>
      </c>
      <c r="V11" s="43">
        <v>1.1161000000000001</v>
      </c>
      <c r="W11" s="44">
        <v>1.5599999999999999E-2</v>
      </c>
    </row>
    <row r="12" spans="1:23" x14ac:dyDescent="0.25">
      <c r="A12" s="80">
        <v>1</v>
      </c>
      <c r="B12" s="81" t="s">
        <v>15</v>
      </c>
      <c r="C12" s="82" t="s">
        <v>50</v>
      </c>
      <c r="D12" s="51">
        <v>0</v>
      </c>
      <c r="E12" s="92">
        <v>57.34</v>
      </c>
      <c r="F12" s="92">
        <v>26.94</v>
      </c>
      <c r="G12" s="92">
        <v>69.959999999999994</v>
      </c>
      <c r="H12" s="93">
        <v>24.5</v>
      </c>
      <c r="I12" s="93">
        <f t="shared" si="0"/>
        <v>51.51</v>
      </c>
      <c r="J12" s="92">
        <f t="shared" si="1"/>
        <v>46.84</v>
      </c>
      <c r="K12" s="58">
        <v>192</v>
      </c>
      <c r="L12" s="58">
        <v>770</v>
      </c>
      <c r="M12" s="58">
        <v>38</v>
      </c>
      <c r="N12" s="101">
        <v>0.95</v>
      </c>
      <c r="O12" s="33">
        <v>53</v>
      </c>
      <c r="P12" s="105">
        <v>2.4E-2</v>
      </c>
      <c r="Q12" s="113">
        <v>0.54</v>
      </c>
      <c r="R12" s="105">
        <v>6.9400000000000003E-2</v>
      </c>
      <c r="S12" s="109">
        <v>41.87</v>
      </c>
      <c r="T12" s="109">
        <v>7.35</v>
      </c>
      <c r="U12" s="109">
        <v>910.85</v>
      </c>
      <c r="V12" s="43">
        <v>1.1161000000000001</v>
      </c>
      <c r="W12" s="44">
        <v>1.5599999999999999E-2</v>
      </c>
    </row>
    <row r="13" spans="1:23" x14ac:dyDescent="0.25">
      <c r="A13" s="80">
        <v>1</v>
      </c>
      <c r="B13" s="81" t="s">
        <v>15</v>
      </c>
      <c r="C13" s="82" t="s">
        <v>51</v>
      </c>
      <c r="D13" s="51">
        <v>0</v>
      </c>
      <c r="E13" s="92">
        <v>57.34</v>
      </c>
      <c r="F13" s="92">
        <v>26.94</v>
      </c>
      <c r="G13" s="92">
        <v>69.849999999999994</v>
      </c>
      <c r="H13" s="93">
        <v>24.5</v>
      </c>
      <c r="I13" s="93">
        <f t="shared" si="0"/>
        <v>51.06</v>
      </c>
      <c r="J13" s="92">
        <f t="shared" si="1"/>
        <v>46.44</v>
      </c>
      <c r="K13" s="58">
        <v>192</v>
      </c>
      <c r="L13" s="58">
        <v>770</v>
      </c>
      <c r="M13" s="58">
        <v>38</v>
      </c>
      <c r="N13" s="101">
        <v>0.95</v>
      </c>
      <c r="O13" s="33">
        <v>53</v>
      </c>
      <c r="P13" s="105">
        <v>2.5899999999999999E-2</v>
      </c>
      <c r="Q13" s="113">
        <v>0.52</v>
      </c>
      <c r="R13" s="105">
        <v>7.1300000000000002E-2</v>
      </c>
      <c r="S13" s="109">
        <v>41.87</v>
      </c>
      <c r="T13" s="109">
        <v>7.35</v>
      </c>
      <c r="U13" s="109">
        <v>910.85</v>
      </c>
      <c r="V13" s="43">
        <v>1.1161000000000001</v>
      </c>
      <c r="W13" s="44">
        <v>1.5599999999999999E-2</v>
      </c>
    </row>
    <row r="14" spans="1:23" x14ac:dyDescent="0.25">
      <c r="A14" s="80">
        <v>1</v>
      </c>
      <c r="B14" s="81" t="s">
        <v>15</v>
      </c>
      <c r="C14" s="82" t="s">
        <v>52</v>
      </c>
      <c r="D14" s="51">
        <v>0</v>
      </c>
      <c r="E14" s="92">
        <v>57.34</v>
      </c>
      <c r="F14" s="92">
        <v>26.94</v>
      </c>
      <c r="G14" s="92">
        <v>69.739999999999995</v>
      </c>
      <c r="H14" s="93">
        <v>24.5</v>
      </c>
      <c r="I14" s="93">
        <f t="shared" si="0"/>
        <v>50.61</v>
      </c>
      <c r="J14" s="92">
        <f t="shared" si="1"/>
        <v>46.03</v>
      </c>
      <c r="K14" s="58">
        <v>192</v>
      </c>
      <c r="L14" s="58">
        <v>770</v>
      </c>
      <c r="M14" s="58">
        <v>38</v>
      </c>
      <c r="N14" s="101">
        <v>0.95</v>
      </c>
      <c r="O14" s="33">
        <v>53</v>
      </c>
      <c r="P14" s="105">
        <v>2.69E-2</v>
      </c>
      <c r="Q14" s="113">
        <v>0.52</v>
      </c>
      <c r="R14" s="105">
        <v>7.0499999999999993E-2</v>
      </c>
      <c r="S14" s="109">
        <v>41.87</v>
      </c>
      <c r="T14" s="109">
        <v>7.35</v>
      </c>
      <c r="U14" s="109">
        <v>910.85</v>
      </c>
      <c r="V14" s="43">
        <v>1.1161000000000001</v>
      </c>
      <c r="W14" s="44">
        <v>1.5599999999999999E-2</v>
      </c>
    </row>
    <row r="15" spans="1:23" x14ac:dyDescent="0.25">
      <c r="A15" s="80">
        <v>1</v>
      </c>
      <c r="B15" s="81" t="s">
        <v>15</v>
      </c>
      <c r="C15" s="82" t="s">
        <v>53</v>
      </c>
      <c r="D15" s="51">
        <v>0</v>
      </c>
      <c r="E15" s="92">
        <v>57.34</v>
      </c>
      <c r="F15" s="92">
        <v>26.94</v>
      </c>
      <c r="G15" s="92">
        <v>69.63</v>
      </c>
      <c r="H15" s="93">
        <v>24.5</v>
      </c>
      <c r="I15" s="93">
        <f t="shared" si="0"/>
        <v>50.16</v>
      </c>
      <c r="J15" s="92">
        <f t="shared" si="1"/>
        <v>45.62</v>
      </c>
      <c r="K15" s="58">
        <v>192</v>
      </c>
      <c r="L15" s="58">
        <v>770</v>
      </c>
      <c r="M15" s="58">
        <v>38</v>
      </c>
      <c r="N15" s="101">
        <v>0.95</v>
      </c>
      <c r="O15" s="33">
        <v>53</v>
      </c>
      <c r="P15" s="105">
        <v>2.64E-2</v>
      </c>
      <c r="Q15" s="113">
        <v>0.52</v>
      </c>
      <c r="R15" s="105">
        <v>7.0699999999999999E-2</v>
      </c>
      <c r="S15" s="109">
        <v>41.87</v>
      </c>
      <c r="T15" s="109">
        <v>7.35</v>
      </c>
      <c r="U15" s="109">
        <v>910.85</v>
      </c>
      <c r="V15" s="43">
        <v>1.1161000000000001</v>
      </c>
      <c r="W15" s="44">
        <v>1.5599999999999999E-2</v>
      </c>
    </row>
    <row r="16" spans="1:23" x14ac:dyDescent="0.25">
      <c r="A16" s="80">
        <v>1</v>
      </c>
      <c r="B16" s="81" t="s">
        <v>15</v>
      </c>
      <c r="C16" s="82" t="s">
        <v>54</v>
      </c>
      <c r="D16" s="51">
        <v>0</v>
      </c>
      <c r="E16" s="92">
        <v>57.34</v>
      </c>
      <c r="F16" s="92">
        <v>26.94</v>
      </c>
      <c r="G16" s="92">
        <v>69.52</v>
      </c>
      <c r="H16" s="93">
        <v>24.5</v>
      </c>
      <c r="I16" s="93">
        <f t="shared" si="0"/>
        <v>49.71</v>
      </c>
      <c r="J16" s="92">
        <f t="shared" si="1"/>
        <v>45.21</v>
      </c>
      <c r="K16" s="58">
        <v>192</v>
      </c>
      <c r="L16" s="58">
        <v>770</v>
      </c>
      <c r="M16" s="58">
        <v>38</v>
      </c>
      <c r="N16" s="101">
        <v>0.95</v>
      </c>
      <c r="O16" s="33">
        <v>53</v>
      </c>
      <c r="P16" s="105">
        <v>2.7900000000000001E-2</v>
      </c>
      <c r="Q16" s="113">
        <v>0.51</v>
      </c>
      <c r="R16" s="105">
        <v>6.9900000000000004E-2</v>
      </c>
      <c r="S16" s="109">
        <v>41.87</v>
      </c>
      <c r="T16" s="109">
        <v>7.35</v>
      </c>
      <c r="U16" s="109">
        <v>910.85</v>
      </c>
      <c r="V16" s="43">
        <v>1.1161000000000001</v>
      </c>
      <c r="W16" s="44">
        <v>1.5599999999999999E-2</v>
      </c>
    </row>
    <row r="17" spans="1:23" x14ac:dyDescent="0.25">
      <c r="A17" s="80">
        <v>1</v>
      </c>
      <c r="B17" s="81" t="s">
        <v>15</v>
      </c>
      <c r="C17" s="82" t="s">
        <v>55</v>
      </c>
      <c r="D17" s="51">
        <v>0</v>
      </c>
      <c r="E17" s="92">
        <v>57.34</v>
      </c>
      <c r="F17" s="92">
        <v>26.94</v>
      </c>
      <c r="G17" s="92">
        <v>69.41</v>
      </c>
      <c r="H17" s="93">
        <v>24.5</v>
      </c>
      <c r="I17" s="93">
        <f t="shared" si="0"/>
        <v>49.27</v>
      </c>
      <c r="J17" s="92">
        <f t="shared" si="1"/>
        <v>44.8</v>
      </c>
      <c r="K17" s="58">
        <v>192</v>
      </c>
      <c r="L17" s="58">
        <v>770</v>
      </c>
      <c r="M17" s="58">
        <v>38</v>
      </c>
      <c r="N17" s="101">
        <v>0.95</v>
      </c>
      <c r="O17" s="33">
        <v>53</v>
      </c>
      <c r="P17" s="105">
        <v>2.4500000000000001E-2</v>
      </c>
      <c r="Q17" s="113">
        <v>0.53</v>
      </c>
      <c r="R17" s="105">
        <v>7.5700000000000003E-2</v>
      </c>
      <c r="S17" s="109">
        <v>41.87</v>
      </c>
      <c r="T17" s="109">
        <v>7.35</v>
      </c>
      <c r="U17" s="109">
        <v>910.85</v>
      </c>
      <c r="V17" s="43">
        <v>1.1161000000000001</v>
      </c>
      <c r="W17" s="44">
        <v>1.5599999999999999E-2</v>
      </c>
    </row>
    <row r="18" spans="1:23" x14ac:dyDescent="0.25">
      <c r="A18" s="80">
        <v>1</v>
      </c>
      <c r="B18" s="81" t="s">
        <v>15</v>
      </c>
      <c r="C18" s="82" t="s">
        <v>56</v>
      </c>
      <c r="D18" s="51">
        <v>0</v>
      </c>
      <c r="E18" s="92">
        <v>57.34</v>
      </c>
      <c r="F18" s="92">
        <v>26.94</v>
      </c>
      <c r="G18" s="92">
        <v>69.3</v>
      </c>
      <c r="H18" s="93">
        <v>24.5</v>
      </c>
      <c r="I18" s="93">
        <f t="shared" si="0"/>
        <v>48.82</v>
      </c>
      <c r="J18" s="92">
        <f t="shared" si="1"/>
        <v>44.39</v>
      </c>
      <c r="K18" s="58">
        <v>192</v>
      </c>
      <c r="L18" s="58">
        <v>770</v>
      </c>
      <c r="M18" s="58">
        <v>38</v>
      </c>
      <c r="N18" s="101">
        <v>0.95</v>
      </c>
      <c r="O18" s="33">
        <v>53</v>
      </c>
      <c r="P18" s="105">
        <v>2.47E-2</v>
      </c>
      <c r="Q18" s="113">
        <v>0.53</v>
      </c>
      <c r="R18" s="105">
        <v>7.3599999999999999E-2</v>
      </c>
      <c r="S18" s="109">
        <v>41.87</v>
      </c>
      <c r="T18" s="109">
        <v>7.35</v>
      </c>
      <c r="U18" s="109">
        <v>910.85</v>
      </c>
      <c r="V18" s="43">
        <v>1.1161000000000001</v>
      </c>
      <c r="W18" s="44">
        <v>1.5599999999999999E-2</v>
      </c>
    </row>
    <row r="19" spans="1:23" x14ac:dyDescent="0.25">
      <c r="A19" s="80">
        <v>1</v>
      </c>
      <c r="B19" s="81" t="s">
        <v>15</v>
      </c>
      <c r="C19" s="82" t="s">
        <v>57</v>
      </c>
      <c r="D19" s="51">
        <v>0</v>
      </c>
      <c r="E19" s="92">
        <v>57.34</v>
      </c>
      <c r="F19" s="92">
        <v>26.94</v>
      </c>
      <c r="G19" s="92">
        <v>69.19</v>
      </c>
      <c r="H19" s="93">
        <v>24.5</v>
      </c>
      <c r="I19" s="93">
        <f t="shared" si="0"/>
        <v>48.37</v>
      </c>
      <c r="J19" s="92">
        <f t="shared" si="1"/>
        <v>43.99</v>
      </c>
      <c r="K19" s="58">
        <v>192</v>
      </c>
      <c r="L19" s="58">
        <v>770</v>
      </c>
      <c r="M19" s="58">
        <v>38</v>
      </c>
      <c r="N19" s="101">
        <v>0.95</v>
      </c>
      <c r="O19" s="33">
        <v>53</v>
      </c>
      <c r="P19" s="105">
        <v>2.3900000000000001E-2</v>
      </c>
      <c r="Q19" s="113">
        <v>0.53</v>
      </c>
      <c r="R19" s="105">
        <v>7.3800000000000004E-2</v>
      </c>
      <c r="S19" s="109">
        <v>41.87</v>
      </c>
      <c r="T19" s="109">
        <v>7.35</v>
      </c>
      <c r="U19" s="109">
        <v>910.85</v>
      </c>
      <c r="V19" s="43">
        <v>1.1161000000000001</v>
      </c>
      <c r="W19" s="44">
        <v>1.5599999999999999E-2</v>
      </c>
    </row>
    <row r="20" spans="1:23" x14ac:dyDescent="0.25">
      <c r="A20" s="80">
        <v>1</v>
      </c>
      <c r="B20" s="81" t="s">
        <v>15</v>
      </c>
      <c r="C20" s="82" t="s">
        <v>58</v>
      </c>
      <c r="D20" s="51">
        <v>0</v>
      </c>
      <c r="E20" s="92">
        <v>57.34</v>
      </c>
      <c r="F20" s="92">
        <v>26.94</v>
      </c>
      <c r="G20" s="92">
        <v>69.069999999999993</v>
      </c>
      <c r="H20" s="93">
        <v>24.5</v>
      </c>
      <c r="I20" s="93">
        <f t="shared" si="0"/>
        <v>47.88</v>
      </c>
      <c r="J20" s="92">
        <f t="shared" si="1"/>
        <v>43.54</v>
      </c>
      <c r="K20" s="58">
        <v>192</v>
      </c>
      <c r="L20" s="58">
        <v>770</v>
      </c>
      <c r="M20" s="58">
        <v>38</v>
      </c>
      <c r="N20" s="101">
        <v>0.95</v>
      </c>
      <c r="O20" s="33">
        <v>53</v>
      </c>
      <c r="P20" s="105">
        <v>2.4E-2</v>
      </c>
      <c r="Q20" s="113">
        <v>0.52</v>
      </c>
      <c r="R20" s="105">
        <v>7.8299999999999995E-2</v>
      </c>
      <c r="S20" s="109">
        <v>41.87</v>
      </c>
      <c r="T20" s="109">
        <v>7.35</v>
      </c>
      <c r="U20" s="109">
        <v>910.85</v>
      </c>
      <c r="V20" s="43">
        <v>1.1161000000000001</v>
      </c>
      <c r="W20" s="44">
        <v>1.5599999999999999E-2</v>
      </c>
    </row>
    <row r="21" spans="1:23" x14ac:dyDescent="0.25">
      <c r="A21" s="80">
        <v>1</v>
      </c>
      <c r="B21" s="81" t="s">
        <v>15</v>
      </c>
      <c r="C21" s="82" t="s">
        <v>59</v>
      </c>
      <c r="D21" s="51">
        <v>0</v>
      </c>
      <c r="E21" s="92">
        <v>57.34</v>
      </c>
      <c r="F21" s="92">
        <v>26.94</v>
      </c>
      <c r="G21" s="92">
        <v>68.97</v>
      </c>
      <c r="H21" s="93">
        <v>24.5</v>
      </c>
      <c r="I21" s="93">
        <f t="shared" si="0"/>
        <v>47.47</v>
      </c>
      <c r="J21" s="92">
        <f t="shared" si="1"/>
        <v>43.17</v>
      </c>
      <c r="K21" s="58">
        <v>192</v>
      </c>
      <c r="L21" s="58">
        <v>770</v>
      </c>
      <c r="M21" s="58">
        <v>38</v>
      </c>
      <c r="N21" s="101">
        <v>0.95</v>
      </c>
      <c r="O21" s="33">
        <v>53</v>
      </c>
      <c r="P21" s="105">
        <v>2.3199999999999998E-2</v>
      </c>
      <c r="Q21" s="113">
        <v>0.52</v>
      </c>
      <c r="R21" s="105">
        <v>8.1199999999999994E-2</v>
      </c>
      <c r="S21" s="109">
        <v>41.87</v>
      </c>
      <c r="T21" s="109">
        <v>7.35</v>
      </c>
      <c r="U21" s="109">
        <v>910.85</v>
      </c>
      <c r="V21" s="43">
        <v>1.1161000000000001</v>
      </c>
      <c r="W21" s="44">
        <v>1.5599999999999999E-2</v>
      </c>
    </row>
    <row r="22" spans="1:23" x14ac:dyDescent="0.25">
      <c r="A22" s="80">
        <v>1</v>
      </c>
      <c r="B22" s="81" t="s">
        <v>15</v>
      </c>
      <c r="C22" s="82" t="s">
        <v>60</v>
      </c>
      <c r="D22" s="51">
        <v>0</v>
      </c>
      <c r="E22" s="92">
        <v>57.34</v>
      </c>
      <c r="F22" s="92">
        <v>26.94</v>
      </c>
      <c r="G22" s="92">
        <v>68.849999999999994</v>
      </c>
      <c r="H22" s="93">
        <v>24.5</v>
      </c>
      <c r="I22" s="93">
        <f t="shared" si="0"/>
        <v>46.98</v>
      </c>
      <c r="J22" s="92">
        <f t="shared" si="1"/>
        <v>42.72</v>
      </c>
      <c r="K22" s="58">
        <v>192</v>
      </c>
      <c r="L22" s="58">
        <v>770</v>
      </c>
      <c r="M22" s="58">
        <v>38</v>
      </c>
      <c r="N22" s="101">
        <v>0.95</v>
      </c>
      <c r="O22" s="33">
        <v>53</v>
      </c>
      <c r="P22" s="105">
        <v>2.47E-2</v>
      </c>
      <c r="Q22" s="113">
        <v>0.51</v>
      </c>
      <c r="R22" s="105">
        <v>8.1199999999999994E-2</v>
      </c>
      <c r="S22" s="109">
        <v>41.87</v>
      </c>
      <c r="T22" s="109">
        <v>7.35</v>
      </c>
      <c r="U22" s="109">
        <v>910.85</v>
      </c>
      <c r="V22" s="43">
        <v>1.1161000000000001</v>
      </c>
      <c r="W22" s="44">
        <v>1.5599999999999999E-2</v>
      </c>
    </row>
    <row r="23" spans="1:23" x14ac:dyDescent="0.25">
      <c r="A23" s="80">
        <v>1</v>
      </c>
      <c r="B23" s="81" t="s">
        <v>15</v>
      </c>
      <c r="C23" s="82" t="s">
        <v>61</v>
      </c>
      <c r="D23" s="51">
        <v>0</v>
      </c>
      <c r="E23" s="92">
        <v>57.34</v>
      </c>
      <c r="F23" s="92">
        <v>26.94</v>
      </c>
      <c r="G23" s="92">
        <v>68.739999999999995</v>
      </c>
      <c r="H23" s="93">
        <v>24.5</v>
      </c>
      <c r="I23" s="93">
        <f t="shared" si="0"/>
        <v>46.53</v>
      </c>
      <c r="J23" s="92">
        <f t="shared" si="1"/>
        <v>42.32</v>
      </c>
      <c r="K23" s="58">
        <v>192</v>
      </c>
      <c r="L23" s="58">
        <v>770</v>
      </c>
      <c r="M23" s="58">
        <v>38</v>
      </c>
      <c r="N23" s="101">
        <v>0.95</v>
      </c>
      <c r="O23" s="33">
        <v>53</v>
      </c>
      <c r="P23" s="105">
        <v>2.58E-2</v>
      </c>
      <c r="Q23" s="113">
        <v>0.51</v>
      </c>
      <c r="R23" s="105">
        <v>8.0799999999999997E-2</v>
      </c>
      <c r="S23" s="109">
        <v>41.87</v>
      </c>
      <c r="T23" s="109">
        <v>7.35</v>
      </c>
      <c r="U23" s="109">
        <v>910.85</v>
      </c>
      <c r="V23" s="43">
        <v>1.1161000000000001</v>
      </c>
      <c r="W23" s="44">
        <v>1.5599999999999999E-2</v>
      </c>
    </row>
    <row r="24" spans="1:23" x14ac:dyDescent="0.25">
      <c r="A24" s="80">
        <v>1</v>
      </c>
      <c r="B24" s="81" t="s">
        <v>15</v>
      </c>
      <c r="C24" s="82" t="s">
        <v>62</v>
      </c>
      <c r="D24" s="51">
        <v>0</v>
      </c>
      <c r="E24" s="92">
        <v>57.34</v>
      </c>
      <c r="F24" s="92">
        <v>26.94</v>
      </c>
      <c r="G24" s="92">
        <v>68.63</v>
      </c>
      <c r="H24" s="93">
        <v>24.5</v>
      </c>
      <c r="I24" s="93">
        <f t="shared" si="0"/>
        <v>46.08</v>
      </c>
      <c r="J24" s="92">
        <f t="shared" si="1"/>
        <v>41.91</v>
      </c>
      <c r="K24" s="58">
        <v>192</v>
      </c>
      <c r="L24" s="58">
        <v>770</v>
      </c>
      <c r="M24" s="58">
        <v>38</v>
      </c>
      <c r="N24" s="101">
        <v>0.95</v>
      </c>
      <c r="O24" s="33">
        <v>53</v>
      </c>
      <c r="P24" s="105">
        <v>2.4299999999999999E-2</v>
      </c>
      <c r="Q24" s="113">
        <v>0.52</v>
      </c>
      <c r="R24" s="105">
        <v>7.9299999999999995E-2</v>
      </c>
      <c r="S24" s="109">
        <v>41.87</v>
      </c>
      <c r="T24" s="109">
        <v>7.35</v>
      </c>
      <c r="U24" s="109">
        <v>910.85</v>
      </c>
      <c r="V24" s="43">
        <v>1.1161000000000001</v>
      </c>
      <c r="W24" s="44">
        <v>1.5599999999999999E-2</v>
      </c>
    </row>
    <row r="25" spans="1:23" x14ac:dyDescent="0.25">
      <c r="A25" s="80">
        <v>1</v>
      </c>
      <c r="B25" s="81" t="s">
        <v>15</v>
      </c>
      <c r="C25" s="82" t="s">
        <v>63</v>
      </c>
      <c r="D25" s="51">
        <v>0</v>
      </c>
      <c r="E25" s="92">
        <v>57.34</v>
      </c>
      <c r="F25" s="92">
        <v>26.94</v>
      </c>
      <c r="G25" s="92">
        <v>68.510000000000005</v>
      </c>
      <c r="H25" s="93">
        <v>24.5</v>
      </c>
      <c r="I25" s="93">
        <f t="shared" si="0"/>
        <v>45.59</v>
      </c>
      <c r="J25" s="92">
        <f t="shared" si="1"/>
        <v>41.46</v>
      </c>
      <c r="K25" s="58">
        <v>192</v>
      </c>
      <c r="L25" s="58">
        <v>770</v>
      </c>
      <c r="M25" s="58">
        <v>38</v>
      </c>
      <c r="N25" s="101">
        <v>0.95</v>
      </c>
      <c r="O25" s="33">
        <v>53</v>
      </c>
      <c r="P25" s="105">
        <v>2.4799999999999999E-2</v>
      </c>
      <c r="Q25" s="113">
        <v>0.52</v>
      </c>
      <c r="R25" s="105">
        <v>7.8200000000000006E-2</v>
      </c>
      <c r="S25" s="109">
        <v>41.87</v>
      </c>
      <c r="T25" s="109">
        <v>7.35</v>
      </c>
      <c r="U25" s="109">
        <v>910.85</v>
      </c>
      <c r="V25" s="43">
        <v>1.1161000000000001</v>
      </c>
      <c r="W25" s="44">
        <v>1.5599999999999999E-2</v>
      </c>
    </row>
    <row r="26" spans="1:23" x14ac:dyDescent="0.25">
      <c r="A26" s="80">
        <v>1</v>
      </c>
      <c r="B26" s="81" t="s">
        <v>15</v>
      </c>
      <c r="C26" s="82" t="s">
        <v>64</v>
      </c>
      <c r="D26" s="51">
        <v>0</v>
      </c>
      <c r="E26" s="92">
        <v>57.34</v>
      </c>
      <c r="F26" s="92">
        <v>26.94</v>
      </c>
      <c r="G26" s="92">
        <v>68.41</v>
      </c>
      <c r="H26" s="93">
        <v>24.5</v>
      </c>
      <c r="I26" s="93">
        <f t="shared" si="0"/>
        <v>45.18</v>
      </c>
      <c r="J26" s="92">
        <f t="shared" si="1"/>
        <v>41.09</v>
      </c>
      <c r="K26" s="58">
        <v>192</v>
      </c>
      <c r="L26" s="58">
        <v>770</v>
      </c>
      <c r="M26" s="58">
        <v>38</v>
      </c>
      <c r="N26" s="101">
        <v>0.95</v>
      </c>
      <c r="O26" s="33">
        <v>53</v>
      </c>
      <c r="P26" s="105">
        <v>2.7099999999999999E-2</v>
      </c>
      <c r="Q26" s="113">
        <v>0.5</v>
      </c>
      <c r="R26" s="105">
        <v>8.0699999999999994E-2</v>
      </c>
      <c r="S26" s="109">
        <v>41.87</v>
      </c>
      <c r="T26" s="109">
        <v>7.35</v>
      </c>
      <c r="U26" s="109">
        <v>910.85</v>
      </c>
      <c r="V26" s="43">
        <v>1.1161000000000001</v>
      </c>
      <c r="W26" s="44">
        <v>1.5599999999999999E-2</v>
      </c>
    </row>
    <row r="27" spans="1:23" x14ac:dyDescent="0.25">
      <c r="A27" s="80">
        <v>1</v>
      </c>
      <c r="B27" s="81" t="s">
        <v>15</v>
      </c>
      <c r="C27" s="82" t="s">
        <v>65</v>
      </c>
      <c r="D27" s="51">
        <v>0</v>
      </c>
      <c r="E27" s="92">
        <v>57.34</v>
      </c>
      <c r="F27" s="92">
        <v>26.94</v>
      </c>
      <c r="G27" s="92">
        <v>68.290000000000006</v>
      </c>
      <c r="H27" s="93">
        <v>24.5</v>
      </c>
      <c r="I27" s="93">
        <f t="shared" si="0"/>
        <v>44.69</v>
      </c>
      <c r="J27" s="92">
        <f t="shared" si="1"/>
        <v>40.65</v>
      </c>
      <c r="K27" s="58">
        <v>192</v>
      </c>
      <c r="L27" s="58">
        <v>770</v>
      </c>
      <c r="M27" s="58">
        <v>38</v>
      </c>
      <c r="N27" s="101">
        <v>0.95</v>
      </c>
      <c r="O27" s="33">
        <v>53</v>
      </c>
      <c r="P27" s="105">
        <v>2.58E-2</v>
      </c>
      <c r="Q27" s="113">
        <v>0.51</v>
      </c>
      <c r="R27" s="105">
        <v>8.0699999999999994E-2</v>
      </c>
      <c r="S27" s="109">
        <v>41.87</v>
      </c>
      <c r="T27" s="109">
        <v>7.35</v>
      </c>
      <c r="U27" s="109">
        <v>910.85</v>
      </c>
      <c r="V27" s="43">
        <v>1.1161000000000001</v>
      </c>
      <c r="W27" s="44">
        <v>1.5599999999999999E-2</v>
      </c>
    </row>
    <row r="28" spans="1:23" x14ac:dyDescent="0.25">
      <c r="A28" s="80">
        <v>1</v>
      </c>
      <c r="B28" s="81" t="s">
        <v>15</v>
      </c>
      <c r="C28" s="82" t="s">
        <v>66</v>
      </c>
      <c r="D28" s="51">
        <v>0</v>
      </c>
      <c r="E28" s="92">
        <v>57.34</v>
      </c>
      <c r="F28" s="92">
        <v>26.94</v>
      </c>
      <c r="G28" s="92">
        <v>68.19</v>
      </c>
      <c r="H28" s="93">
        <v>24.5</v>
      </c>
      <c r="I28" s="93">
        <f t="shared" si="0"/>
        <v>44.29</v>
      </c>
      <c r="J28" s="92">
        <f t="shared" si="1"/>
        <v>40.270000000000003</v>
      </c>
      <c r="K28" s="58">
        <v>192</v>
      </c>
      <c r="L28" s="58">
        <v>770</v>
      </c>
      <c r="M28" s="58">
        <v>38</v>
      </c>
      <c r="N28" s="101">
        <v>0.95</v>
      </c>
      <c r="O28" s="33">
        <v>53</v>
      </c>
      <c r="P28" s="105">
        <v>2.3599999999999999E-2</v>
      </c>
      <c r="Q28" s="113">
        <v>0.52</v>
      </c>
      <c r="R28" s="105">
        <v>8.4500000000000006E-2</v>
      </c>
      <c r="S28" s="109">
        <v>41.87</v>
      </c>
      <c r="T28" s="109">
        <v>7.35</v>
      </c>
      <c r="U28" s="109">
        <v>910.85</v>
      </c>
      <c r="V28" s="43">
        <v>1.1161000000000001</v>
      </c>
      <c r="W28" s="44">
        <v>1.5599999999999999E-2</v>
      </c>
    </row>
    <row r="29" spans="1:23" x14ac:dyDescent="0.25">
      <c r="A29" s="80">
        <v>1</v>
      </c>
      <c r="B29" s="81" t="s">
        <v>15</v>
      </c>
      <c r="C29" s="82" t="s">
        <v>67</v>
      </c>
      <c r="D29" s="51">
        <v>0</v>
      </c>
      <c r="E29" s="92">
        <v>57.34</v>
      </c>
      <c r="F29" s="92">
        <v>26.94</v>
      </c>
      <c r="G29" s="92">
        <v>68.069999999999993</v>
      </c>
      <c r="H29" s="93">
        <v>24.5</v>
      </c>
      <c r="I29" s="93">
        <f t="shared" si="0"/>
        <v>43.8</v>
      </c>
      <c r="J29" s="92">
        <f t="shared" si="1"/>
        <v>39.83</v>
      </c>
      <c r="K29" s="58">
        <v>192</v>
      </c>
      <c r="L29" s="58">
        <v>770</v>
      </c>
      <c r="M29" s="58">
        <v>38</v>
      </c>
      <c r="N29" s="101">
        <v>0.95</v>
      </c>
      <c r="O29" s="33">
        <v>53</v>
      </c>
      <c r="P29" s="105">
        <v>2.46E-2</v>
      </c>
      <c r="Q29" s="113">
        <v>0.52</v>
      </c>
      <c r="R29" s="105">
        <v>8.1500000000000003E-2</v>
      </c>
      <c r="S29" s="109">
        <v>41.87</v>
      </c>
      <c r="T29" s="109">
        <v>7.35</v>
      </c>
      <c r="U29" s="109">
        <v>910.85</v>
      </c>
      <c r="V29" s="43">
        <v>1.1161000000000001</v>
      </c>
      <c r="W29" s="44">
        <v>1.5599999999999999E-2</v>
      </c>
    </row>
    <row r="30" spans="1:23" x14ac:dyDescent="0.25">
      <c r="A30" s="80">
        <v>1</v>
      </c>
      <c r="B30" s="81" t="s">
        <v>15</v>
      </c>
      <c r="C30" s="82" t="s">
        <v>68</v>
      </c>
      <c r="D30" s="51">
        <v>0</v>
      </c>
      <c r="E30" s="92">
        <v>57.34</v>
      </c>
      <c r="F30" s="92">
        <v>26.94</v>
      </c>
      <c r="G30" s="92">
        <v>67.97</v>
      </c>
      <c r="H30" s="93">
        <v>24.5</v>
      </c>
      <c r="I30" s="93">
        <f t="shared" si="0"/>
        <v>43.39</v>
      </c>
      <c r="J30" s="92">
        <f t="shared" si="1"/>
        <v>39.46</v>
      </c>
      <c r="K30" s="58">
        <v>192</v>
      </c>
      <c r="L30" s="58">
        <v>770</v>
      </c>
      <c r="M30" s="58">
        <v>38</v>
      </c>
      <c r="N30" s="101">
        <v>0.95</v>
      </c>
      <c r="O30" s="33">
        <v>53</v>
      </c>
      <c r="P30" s="105">
        <v>2.2599999999999999E-2</v>
      </c>
      <c r="Q30" s="113">
        <v>0.53</v>
      </c>
      <c r="R30" s="105">
        <v>8.4400000000000003E-2</v>
      </c>
      <c r="S30" s="109">
        <v>41.87</v>
      </c>
      <c r="T30" s="109">
        <v>7.35</v>
      </c>
      <c r="U30" s="109">
        <v>910.85</v>
      </c>
      <c r="V30" s="43">
        <v>1.1161000000000001</v>
      </c>
      <c r="W30" s="44">
        <v>1.5599999999999999E-2</v>
      </c>
    </row>
    <row r="31" spans="1:23" x14ac:dyDescent="0.25">
      <c r="A31" s="80">
        <v>1</v>
      </c>
      <c r="B31" s="81" t="s">
        <v>15</v>
      </c>
      <c r="C31" s="82" t="s">
        <v>69</v>
      </c>
      <c r="D31" s="51">
        <v>0</v>
      </c>
      <c r="E31" s="92">
        <v>57.34</v>
      </c>
      <c r="F31" s="92">
        <v>26.94</v>
      </c>
      <c r="G31" s="92">
        <v>67.86</v>
      </c>
      <c r="H31" s="93">
        <v>24.5</v>
      </c>
      <c r="I31" s="93">
        <f t="shared" si="0"/>
        <v>42.94</v>
      </c>
      <c r="J31" s="92">
        <f t="shared" si="1"/>
        <v>39.049999999999997</v>
      </c>
      <c r="K31" s="58">
        <v>192</v>
      </c>
      <c r="L31" s="58">
        <v>770</v>
      </c>
      <c r="M31" s="58">
        <v>38</v>
      </c>
      <c r="N31" s="101">
        <v>0.95</v>
      </c>
      <c r="O31" s="33">
        <v>53</v>
      </c>
      <c r="P31" s="105">
        <v>2.7199999999999998E-2</v>
      </c>
      <c r="Q31" s="113">
        <v>0.49</v>
      </c>
      <c r="R31" s="105">
        <v>8.3199999999999996E-2</v>
      </c>
      <c r="S31" s="109">
        <v>41.87</v>
      </c>
      <c r="T31" s="109">
        <v>7.35</v>
      </c>
      <c r="U31" s="109">
        <v>910.85</v>
      </c>
      <c r="V31" s="43">
        <v>1.1161000000000001</v>
      </c>
      <c r="W31" s="44">
        <v>1.5599999999999999E-2</v>
      </c>
    </row>
    <row r="32" spans="1:23" x14ac:dyDescent="0.25">
      <c r="A32" s="80">
        <v>1</v>
      </c>
      <c r="B32" s="81" t="s">
        <v>15</v>
      </c>
      <c r="C32" s="82" t="s">
        <v>70</v>
      </c>
      <c r="D32" s="51">
        <v>0</v>
      </c>
      <c r="E32" s="92">
        <v>57.34</v>
      </c>
      <c r="F32" s="92">
        <v>26.94</v>
      </c>
      <c r="G32" s="92">
        <v>67.739999999999995</v>
      </c>
      <c r="H32" s="93">
        <v>24.5</v>
      </c>
      <c r="I32" s="93">
        <f t="shared" si="0"/>
        <v>42.45</v>
      </c>
      <c r="J32" s="92">
        <f t="shared" si="1"/>
        <v>38.6</v>
      </c>
      <c r="K32" s="58">
        <v>192</v>
      </c>
      <c r="L32" s="58">
        <v>770</v>
      </c>
      <c r="M32" s="58">
        <v>38</v>
      </c>
      <c r="N32" s="101">
        <v>0.95</v>
      </c>
      <c r="O32" s="33">
        <v>53</v>
      </c>
      <c r="P32" s="105">
        <v>2.3900000000000001E-2</v>
      </c>
      <c r="Q32" s="113">
        <v>0.51</v>
      </c>
      <c r="R32" s="105">
        <v>8.5999999999999993E-2</v>
      </c>
      <c r="S32" s="109">
        <v>41.87</v>
      </c>
      <c r="T32" s="109">
        <v>7.35</v>
      </c>
      <c r="U32" s="109">
        <v>910.85</v>
      </c>
      <c r="V32" s="43">
        <v>1.1161000000000001</v>
      </c>
      <c r="W32" s="44">
        <v>1.5599999999999999E-2</v>
      </c>
    </row>
    <row r="33" spans="1:23" x14ac:dyDescent="0.25">
      <c r="A33" s="80">
        <v>1</v>
      </c>
      <c r="B33" s="81" t="s">
        <v>15</v>
      </c>
      <c r="C33" s="82" t="s">
        <v>71</v>
      </c>
      <c r="D33" s="51">
        <v>0</v>
      </c>
      <c r="E33" s="92">
        <v>57.34</v>
      </c>
      <c r="F33" s="92">
        <v>26.94</v>
      </c>
      <c r="G33" s="92">
        <v>67.64</v>
      </c>
      <c r="H33" s="93">
        <v>24.5</v>
      </c>
      <c r="I33" s="93">
        <f t="shared" si="0"/>
        <v>42.04</v>
      </c>
      <c r="J33" s="92">
        <f t="shared" si="1"/>
        <v>38.229999999999997</v>
      </c>
      <c r="K33" s="58">
        <v>192</v>
      </c>
      <c r="L33" s="58">
        <v>770</v>
      </c>
      <c r="M33" s="58">
        <v>38</v>
      </c>
      <c r="N33" s="101">
        <v>0.95</v>
      </c>
      <c r="O33" s="33">
        <v>53</v>
      </c>
      <c r="P33" s="105">
        <v>2.52E-2</v>
      </c>
      <c r="Q33" s="113">
        <v>0.5</v>
      </c>
      <c r="R33" s="105">
        <v>8.6999999999999994E-2</v>
      </c>
      <c r="S33" s="109">
        <v>41.87</v>
      </c>
      <c r="T33" s="109">
        <v>7.35</v>
      </c>
      <c r="U33" s="109">
        <v>910.85</v>
      </c>
      <c r="V33" s="43">
        <v>1.1161000000000001</v>
      </c>
      <c r="W33" s="44">
        <v>1.5599999999999999E-2</v>
      </c>
    </row>
    <row r="34" spans="1:23" x14ac:dyDescent="0.25">
      <c r="A34" s="80">
        <v>1</v>
      </c>
      <c r="B34" s="81" t="s">
        <v>15</v>
      </c>
      <c r="C34" s="82" t="s">
        <v>72</v>
      </c>
      <c r="D34" s="51">
        <v>0</v>
      </c>
      <c r="E34" s="92">
        <v>57.34</v>
      </c>
      <c r="F34" s="92">
        <v>26.94</v>
      </c>
      <c r="G34" s="92">
        <v>67.53</v>
      </c>
      <c r="H34" s="93">
        <v>24.5</v>
      </c>
      <c r="I34" s="93">
        <f t="shared" si="0"/>
        <v>41.59</v>
      </c>
      <c r="J34" s="92">
        <f t="shared" si="1"/>
        <v>37.82</v>
      </c>
      <c r="K34" s="58">
        <v>192</v>
      </c>
      <c r="L34" s="58">
        <v>770</v>
      </c>
      <c r="M34" s="58">
        <v>38</v>
      </c>
      <c r="N34" s="101">
        <v>0.95</v>
      </c>
      <c r="O34" s="33">
        <v>53</v>
      </c>
      <c r="P34" s="105">
        <v>2.4199999999999999E-2</v>
      </c>
      <c r="Q34" s="113">
        <v>0.5</v>
      </c>
      <c r="R34" s="105">
        <v>8.8300000000000003E-2</v>
      </c>
      <c r="S34" s="109">
        <v>41.87</v>
      </c>
      <c r="T34" s="109">
        <v>7.35</v>
      </c>
      <c r="U34" s="109">
        <v>910.85</v>
      </c>
      <c r="V34" s="43">
        <v>1.1161000000000001</v>
      </c>
      <c r="W34" s="44">
        <v>1.5599999999999999E-2</v>
      </c>
    </row>
    <row r="35" spans="1:23" x14ac:dyDescent="0.25">
      <c r="A35" s="80">
        <v>1</v>
      </c>
      <c r="B35" s="81" t="s">
        <v>15</v>
      </c>
      <c r="C35" s="82" t="s">
        <v>73</v>
      </c>
      <c r="D35" s="51">
        <v>0</v>
      </c>
      <c r="E35" s="92">
        <v>57.34</v>
      </c>
      <c r="F35" s="92">
        <v>26.94</v>
      </c>
      <c r="G35" s="92">
        <v>67.42</v>
      </c>
      <c r="H35" s="93">
        <v>24.5</v>
      </c>
      <c r="I35" s="93">
        <f t="shared" si="0"/>
        <v>41.14</v>
      </c>
      <c r="J35" s="92">
        <f t="shared" si="1"/>
        <v>37.42</v>
      </c>
      <c r="K35" s="58">
        <v>192</v>
      </c>
      <c r="L35" s="58">
        <v>770</v>
      </c>
      <c r="M35" s="58">
        <v>38</v>
      </c>
      <c r="N35" s="101">
        <v>0.95</v>
      </c>
      <c r="O35" s="33">
        <v>53</v>
      </c>
      <c r="P35" s="105">
        <v>1.01E-2</v>
      </c>
      <c r="Q35" s="113">
        <v>0.69</v>
      </c>
      <c r="R35" s="105">
        <v>8.9200000000000002E-2</v>
      </c>
      <c r="S35" s="109">
        <v>41.87</v>
      </c>
      <c r="T35" s="109">
        <v>7.35</v>
      </c>
      <c r="U35" s="109">
        <v>910.85</v>
      </c>
      <c r="V35" s="43">
        <v>1.1161000000000001</v>
      </c>
      <c r="W35" s="44">
        <v>1.5599999999999999E-2</v>
      </c>
    </row>
    <row r="36" spans="1:23" x14ac:dyDescent="0.25">
      <c r="A36" s="80">
        <v>1</v>
      </c>
      <c r="B36" s="81" t="s">
        <v>15</v>
      </c>
      <c r="C36" s="82" t="s">
        <v>74</v>
      </c>
      <c r="D36" s="51">
        <v>0</v>
      </c>
      <c r="E36" s="92">
        <v>57.34</v>
      </c>
      <c r="F36" s="92">
        <v>26.94</v>
      </c>
      <c r="G36" s="92">
        <v>67.31</v>
      </c>
      <c r="H36" s="93">
        <v>24.5</v>
      </c>
      <c r="I36" s="93">
        <f t="shared" si="0"/>
        <v>40.69</v>
      </c>
      <c r="J36" s="92">
        <f t="shared" si="1"/>
        <v>37.01</v>
      </c>
      <c r="K36" s="58">
        <v>192</v>
      </c>
      <c r="L36" s="58">
        <v>770</v>
      </c>
      <c r="M36" s="58">
        <v>38</v>
      </c>
      <c r="N36" s="101">
        <v>0.95</v>
      </c>
      <c r="O36" s="33">
        <v>53</v>
      </c>
      <c r="P36" s="105">
        <v>5.3E-3</v>
      </c>
      <c r="Q36" s="113">
        <v>0.86</v>
      </c>
      <c r="R36" s="105">
        <v>9.3399999999999997E-2</v>
      </c>
      <c r="S36" s="109">
        <v>41.87</v>
      </c>
      <c r="T36" s="109">
        <v>7.35</v>
      </c>
      <c r="U36" s="109">
        <v>910.85</v>
      </c>
      <c r="V36" s="43">
        <v>1.1161000000000001</v>
      </c>
      <c r="W36" s="44">
        <v>1.5599999999999999E-2</v>
      </c>
    </row>
    <row r="37" spans="1:23" x14ac:dyDescent="0.25">
      <c r="A37" s="80">
        <v>1</v>
      </c>
      <c r="B37" s="81" t="s">
        <v>15</v>
      </c>
      <c r="C37" s="82" t="s">
        <v>75</v>
      </c>
      <c r="D37" s="51">
        <v>0</v>
      </c>
      <c r="E37" s="92">
        <v>57.34</v>
      </c>
      <c r="F37" s="92">
        <v>26.94</v>
      </c>
      <c r="G37" s="92">
        <v>67.2</v>
      </c>
      <c r="H37" s="93">
        <v>24.5</v>
      </c>
      <c r="I37" s="93">
        <f t="shared" si="0"/>
        <v>40.24</v>
      </c>
      <c r="J37" s="92">
        <f t="shared" si="1"/>
        <v>36.6</v>
      </c>
      <c r="K37" s="58">
        <v>192</v>
      </c>
      <c r="L37" s="58">
        <v>770</v>
      </c>
      <c r="M37" s="58">
        <v>38</v>
      </c>
      <c r="N37" s="101">
        <v>0.95</v>
      </c>
      <c r="O37" s="33">
        <v>53</v>
      </c>
      <c r="P37" s="105">
        <v>5.1999999999999998E-3</v>
      </c>
      <c r="Q37" s="113">
        <v>0.87</v>
      </c>
      <c r="R37" s="105">
        <v>9.5200000000000007E-2</v>
      </c>
      <c r="S37" s="109">
        <v>41.87</v>
      </c>
      <c r="T37" s="109">
        <v>7.35</v>
      </c>
      <c r="U37" s="109">
        <v>910.85</v>
      </c>
      <c r="V37" s="43">
        <v>1.1161000000000001</v>
      </c>
      <c r="W37" s="44">
        <v>1.5599999999999999E-2</v>
      </c>
    </row>
    <row r="38" spans="1:23" x14ac:dyDescent="0.25">
      <c r="A38" s="80">
        <v>1</v>
      </c>
      <c r="B38" s="81" t="s">
        <v>15</v>
      </c>
      <c r="C38" s="82" t="s">
        <v>76</v>
      </c>
      <c r="D38" s="51">
        <v>0</v>
      </c>
      <c r="E38" s="92">
        <v>57.34</v>
      </c>
      <c r="F38" s="92">
        <v>26.94</v>
      </c>
      <c r="G38" s="92">
        <v>67.09</v>
      </c>
      <c r="H38" s="93">
        <v>24.5</v>
      </c>
      <c r="I38" s="93">
        <f t="shared" si="0"/>
        <v>39.799999999999997</v>
      </c>
      <c r="J38" s="92">
        <f t="shared" si="1"/>
        <v>36.19</v>
      </c>
      <c r="K38" s="58">
        <v>192</v>
      </c>
      <c r="L38" s="58">
        <v>770</v>
      </c>
      <c r="M38" s="58">
        <v>38</v>
      </c>
      <c r="N38" s="101">
        <v>0.95</v>
      </c>
      <c r="O38" s="33">
        <v>53</v>
      </c>
      <c r="P38" s="105">
        <v>2.52E-2</v>
      </c>
      <c r="Q38" s="113">
        <v>0.48</v>
      </c>
      <c r="R38" s="105">
        <v>9.1700000000000004E-2</v>
      </c>
      <c r="S38" s="109">
        <v>41.87</v>
      </c>
      <c r="T38" s="109">
        <v>7.35</v>
      </c>
      <c r="U38" s="109">
        <v>910.85</v>
      </c>
      <c r="V38" s="43">
        <v>1.1161000000000001</v>
      </c>
      <c r="W38" s="44">
        <v>1.5599999999999999E-2</v>
      </c>
    </row>
    <row r="39" spans="1:23" x14ac:dyDescent="0.25">
      <c r="A39" s="80">
        <v>1</v>
      </c>
      <c r="B39" s="81" t="s">
        <v>15</v>
      </c>
      <c r="C39" s="82" t="s">
        <v>77</v>
      </c>
      <c r="D39" s="51">
        <v>0</v>
      </c>
      <c r="E39" s="92">
        <v>57.34</v>
      </c>
      <c r="F39" s="92">
        <v>26.94</v>
      </c>
      <c r="G39" s="92">
        <v>66.989999999999995</v>
      </c>
      <c r="H39" s="93">
        <v>24.5</v>
      </c>
      <c r="I39" s="93">
        <f t="shared" si="0"/>
        <v>39.39</v>
      </c>
      <c r="J39" s="92">
        <f t="shared" si="1"/>
        <v>35.82</v>
      </c>
      <c r="K39" s="58">
        <v>192</v>
      </c>
      <c r="L39" s="58">
        <v>770</v>
      </c>
      <c r="M39" s="58">
        <v>38</v>
      </c>
      <c r="N39" s="101">
        <v>0.95</v>
      </c>
      <c r="O39" s="33">
        <v>53</v>
      </c>
      <c r="P39" s="105">
        <v>2.3699999999999999E-2</v>
      </c>
      <c r="Q39" s="113">
        <v>0.5</v>
      </c>
      <c r="R39" s="105">
        <v>8.9800000000000005E-2</v>
      </c>
      <c r="S39" s="109">
        <v>41.87</v>
      </c>
      <c r="T39" s="109">
        <v>7.35</v>
      </c>
      <c r="U39" s="109">
        <v>910.85</v>
      </c>
      <c r="V39" s="43">
        <v>1.1161000000000001</v>
      </c>
      <c r="W39" s="44">
        <v>1.5599999999999999E-2</v>
      </c>
    </row>
    <row r="40" spans="1:23" x14ac:dyDescent="0.25">
      <c r="A40" s="80">
        <v>1</v>
      </c>
      <c r="B40" s="81" t="s">
        <v>15</v>
      </c>
      <c r="C40" s="82" t="s">
        <v>78</v>
      </c>
      <c r="D40" s="51">
        <v>0</v>
      </c>
      <c r="E40" s="92">
        <v>57.34</v>
      </c>
      <c r="F40" s="92">
        <v>26.94</v>
      </c>
      <c r="G40" s="92">
        <v>66.88</v>
      </c>
      <c r="H40" s="93">
        <v>24.5</v>
      </c>
      <c r="I40" s="93">
        <f t="shared" si="0"/>
        <v>38.94</v>
      </c>
      <c r="J40" s="92">
        <f t="shared" si="1"/>
        <v>35.409999999999997</v>
      </c>
      <c r="K40" s="58">
        <v>192</v>
      </c>
      <c r="L40" s="58">
        <v>770</v>
      </c>
      <c r="M40" s="58">
        <v>38</v>
      </c>
      <c r="N40" s="101">
        <v>0.95</v>
      </c>
      <c r="O40" s="33">
        <v>53</v>
      </c>
      <c r="P40" s="105">
        <v>3.5000000000000001E-3</v>
      </c>
      <c r="Q40" s="113">
        <v>1</v>
      </c>
      <c r="R40" s="105">
        <v>7.3599999999999999E-2</v>
      </c>
      <c r="S40" s="109">
        <v>41.87</v>
      </c>
      <c r="T40" s="109">
        <v>7.35</v>
      </c>
      <c r="U40" s="109">
        <v>910.85</v>
      </c>
      <c r="V40" s="43">
        <v>1.1161000000000001</v>
      </c>
      <c r="W40" s="44">
        <v>1.5599999999999999E-2</v>
      </c>
    </row>
    <row r="41" spans="1:23" x14ac:dyDescent="0.25">
      <c r="A41" s="80">
        <v>1</v>
      </c>
      <c r="B41" s="81" t="s">
        <v>15</v>
      </c>
      <c r="C41" s="82" t="s">
        <v>79</v>
      </c>
      <c r="D41" s="51">
        <v>0</v>
      </c>
      <c r="E41" s="92">
        <v>57.34</v>
      </c>
      <c r="F41" s="92">
        <v>26.94</v>
      </c>
      <c r="G41" s="92">
        <v>66.77</v>
      </c>
      <c r="H41" s="93">
        <v>24.5</v>
      </c>
      <c r="I41" s="93">
        <f t="shared" si="0"/>
        <v>38.49</v>
      </c>
      <c r="J41" s="92">
        <f t="shared" si="1"/>
        <v>35</v>
      </c>
      <c r="K41" s="58">
        <v>192</v>
      </c>
      <c r="L41" s="58">
        <v>770</v>
      </c>
      <c r="M41" s="58">
        <v>38</v>
      </c>
      <c r="N41" s="101">
        <v>0.95</v>
      </c>
      <c r="O41" s="33">
        <v>53</v>
      </c>
      <c r="P41" s="105">
        <v>4.5999999999999999E-3</v>
      </c>
      <c r="Q41" s="113">
        <v>0.89</v>
      </c>
      <c r="R41" s="105">
        <v>9.2499999999999999E-2</v>
      </c>
      <c r="S41" s="109">
        <v>41.87</v>
      </c>
      <c r="T41" s="109">
        <v>7.35</v>
      </c>
      <c r="U41" s="109">
        <v>910.85</v>
      </c>
      <c r="V41" s="43">
        <v>1.1161000000000001</v>
      </c>
      <c r="W41" s="44">
        <v>1.5599999999999999E-2</v>
      </c>
    </row>
    <row r="42" spans="1:23" x14ac:dyDescent="0.25">
      <c r="A42" s="80">
        <v>1</v>
      </c>
      <c r="B42" s="81" t="s">
        <v>15</v>
      </c>
      <c r="C42" s="82" t="s">
        <v>80</v>
      </c>
      <c r="D42" s="51">
        <v>0</v>
      </c>
      <c r="E42" s="92">
        <v>57.34</v>
      </c>
      <c r="F42" s="92">
        <v>26.94</v>
      </c>
      <c r="G42" s="92">
        <v>66.66</v>
      </c>
      <c r="H42" s="93">
        <v>24.5</v>
      </c>
      <c r="I42" s="93">
        <f t="shared" si="0"/>
        <v>38.04</v>
      </c>
      <c r="J42" s="92">
        <f t="shared" si="1"/>
        <v>34.6</v>
      </c>
      <c r="K42" s="58">
        <v>192</v>
      </c>
      <c r="L42" s="58">
        <v>770</v>
      </c>
      <c r="M42" s="58">
        <v>38</v>
      </c>
      <c r="N42" s="101">
        <v>0.95</v>
      </c>
      <c r="O42" s="33">
        <v>53</v>
      </c>
      <c r="P42" s="105">
        <v>3.5000000000000001E-3</v>
      </c>
      <c r="Q42" s="113">
        <v>1</v>
      </c>
      <c r="R42" s="105">
        <v>7.1400000000000005E-2</v>
      </c>
      <c r="S42" s="109">
        <v>41.87</v>
      </c>
      <c r="T42" s="109">
        <v>7.35</v>
      </c>
      <c r="U42" s="109">
        <v>910.85</v>
      </c>
      <c r="V42" s="43">
        <v>1.1161000000000001</v>
      </c>
      <c r="W42" s="44">
        <v>1.5599999999999999E-2</v>
      </c>
    </row>
    <row r="43" spans="1:23" x14ac:dyDescent="0.25">
      <c r="A43" s="80">
        <v>1</v>
      </c>
      <c r="B43" s="81" t="s">
        <v>15</v>
      </c>
      <c r="C43" s="82" t="s">
        <v>81</v>
      </c>
      <c r="D43" s="51">
        <v>0</v>
      </c>
      <c r="E43" s="92">
        <v>57.34</v>
      </c>
      <c r="F43" s="92">
        <v>26.94</v>
      </c>
      <c r="G43" s="92">
        <v>66.55</v>
      </c>
      <c r="H43" s="93">
        <v>24.5</v>
      </c>
      <c r="I43" s="93">
        <f t="shared" si="0"/>
        <v>37.590000000000003</v>
      </c>
      <c r="J43" s="92">
        <f t="shared" si="1"/>
        <v>34.19</v>
      </c>
      <c r="K43" s="58">
        <v>192</v>
      </c>
      <c r="L43" s="58">
        <v>770</v>
      </c>
      <c r="M43" s="58">
        <v>38</v>
      </c>
      <c r="N43" s="101">
        <v>0.95</v>
      </c>
      <c r="O43" s="33">
        <v>53</v>
      </c>
      <c r="P43" s="105">
        <v>4.3E-3</v>
      </c>
      <c r="Q43" s="113">
        <v>0.9</v>
      </c>
      <c r="R43" s="105">
        <v>8.9800000000000005E-2</v>
      </c>
      <c r="S43" s="109">
        <v>41.87</v>
      </c>
      <c r="T43" s="109">
        <v>7.35</v>
      </c>
      <c r="U43" s="109">
        <v>910.85</v>
      </c>
      <c r="V43" s="43">
        <v>1.1161000000000001</v>
      </c>
      <c r="W43" s="44">
        <v>1.5599999999999999E-2</v>
      </c>
    </row>
    <row r="44" spans="1:23" x14ac:dyDescent="0.25">
      <c r="A44" s="80">
        <v>1</v>
      </c>
      <c r="B44" s="81" t="s">
        <v>15</v>
      </c>
      <c r="C44" s="82" t="s">
        <v>82</v>
      </c>
      <c r="D44" s="51">
        <v>0</v>
      </c>
      <c r="E44" s="92">
        <v>57.34</v>
      </c>
      <c r="F44" s="92">
        <v>26.94</v>
      </c>
      <c r="G44" s="92">
        <v>66.45</v>
      </c>
      <c r="H44" s="93">
        <v>24.5</v>
      </c>
      <c r="I44" s="93">
        <f t="shared" si="0"/>
        <v>37.18</v>
      </c>
      <c r="J44" s="92">
        <f t="shared" si="1"/>
        <v>33.82</v>
      </c>
      <c r="K44" s="58">
        <v>192</v>
      </c>
      <c r="L44" s="58">
        <v>770</v>
      </c>
      <c r="M44" s="58">
        <v>38</v>
      </c>
      <c r="N44" s="101">
        <v>0.95</v>
      </c>
      <c r="O44" s="33">
        <v>53</v>
      </c>
      <c r="P44" s="105">
        <v>3.3999999999999998E-3</v>
      </c>
      <c r="Q44" s="113">
        <v>1</v>
      </c>
      <c r="R44" s="105">
        <v>7.1800000000000003E-2</v>
      </c>
      <c r="S44" s="109">
        <v>41.87</v>
      </c>
      <c r="T44" s="109">
        <v>7.35</v>
      </c>
      <c r="U44" s="109">
        <v>910.85</v>
      </c>
      <c r="V44" s="43">
        <v>1.1161000000000001</v>
      </c>
      <c r="W44" s="44">
        <v>1.5599999999999999E-2</v>
      </c>
    </row>
    <row r="45" spans="1:23" x14ac:dyDescent="0.25">
      <c r="A45" s="80">
        <v>1</v>
      </c>
      <c r="B45" s="81" t="s">
        <v>15</v>
      </c>
      <c r="C45" s="82" t="s">
        <v>83</v>
      </c>
      <c r="D45" s="51">
        <v>0</v>
      </c>
      <c r="E45" s="92">
        <v>57.34</v>
      </c>
      <c r="F45" s="92">
        <v>26.94</v>
      </c>
      <c r="G45" s="92">
        <v>66.34</v>
      </c>
      <c r="H45" s="93">
        <v>24.5</v>
      </c>
      <c r="I45" s="93">
        <f t="shared" si="0"/>
        <v>36.729999999999997</v>
      </c>
      <c r="J45" s="92">
        <f t="shared" si="1"/>
        <v>33.409999999999997</v>
      </c>
      <c r="K45" s="58">
        <v>192</v>
      </c>
      <c r="L45" s="58">
        <v>770</v>
      </c>
      <c r="M45" s="58">
        <v>38</v>
      </c>
      <c r="N45" s="101">
        <v>0.95</v>
      </c>
      <c r="O45" s="33">
        <v>53</v>
      </c>
      <c r="P45" s="105">
        <v>3.3E-3</v>
      </c>
      <c r="Q45" s="113">
        <v>1</v>
      </c>
      <c r="R45" s="105">
        <v>7.1300000000000002E-2</v>
      </c>
      <c r="S45" s="109">
        <v>41.87</v>
      </c>
      <c r="T45" s="109">
        <v>7.35</v>
      </c>
      <c r="U45" s="109">
        <v>910.85</v>
      </c>
      <c r="V45" s="43">
        <v>1.1161000000000001</v>
      </c>
      <c r="W45" s="44">
        <v>1.5599999999999999E-2</v>
      </c>
    </row>
    <row r="46" spans="1:23" x14ac:dyDescent="0.25">
      <c r="A46" s="80">
        <v>1</v>
      </c>
      <c r="B46" s="81" t="s">
        <v>15</v>
      </c>
      <c r="C46" s="82" t="s">
        <v>84</v>
      </c>
      <c r="D46" s="51">
        <v>0</v>
      </c>
      <c r="E46" s="92">
        <v>57.34</v>
      </c>
      <c r="F46" s="92">
        <v>26.94</v>
      </c>
      <c r="G46" s="92">
        <v>66.23</v>
      </c>
      <c r="H46" s="93">
        <v>24.5</v>
      </c>
      <c r="I46" s="93">
        <f t="shared" si="0"/>
        <v>36.29</v>
      </c>
      <c r="J46" s="92">
        <f t="shared" si="1"/>
        <v>33</v>
      </c>
      <c r="K46" s="58">
        <v>192</v>
      </c>
      <c r="L46" s="58">
        <v>770</v>
      </c>
      <c r="M46" s="58">
        <v>38</v>
      </c>
      <c r="N46" s="101">
        <v>0.95</v>
      </c>
      <c r="O46" s="33">
        <v>53</v>
      </c>
      <c r="P46" s="105">
        <v>3.2000000000000002E-3</v>
      </c>
      <c r="Q46" s="113">
        <v>1</v>
      </c>
      <c r="R46" s="105">
        <v>7.1300000000000002E-2</v>
      </c>
      <c r="S46" s="109">
        <v>41.87</v>
      </c>
      <c r="T46" s="109">
        <v>7.35</v>
      </c>
      <c r="U46" s="109">
        <v>910.85</v>
      </c>
      <c r="V46" s="43">
        <v>1.1161000000000001</v>
      </c>
      <c r="W46" s="44">
        <v>1.5599999999999999E-2</v>
      </c>
    </row>
    <row r="47" spans="1:23" x14ac:dyDescent="0.25">
      <c r="A47" s="80">
        <v>1</v>
      </c>
      <c r="B47" s="81" t="s">
        <v>15</v>
      </c>
      <c r="C47" s="82" t="s">
        <v>85</v>
      </c>
      <c r="D47" s="51">
        <v>0</v>
      </c>
      <c r="E47" s="92">
        <v>57.34</v>
      </c>
      <c r="F47" s="92">
        <v>26.94</v>
      </c>
      <c r="G47" s="92">
        <v>66.13</v>
      </c>
      <c r="H47" s="93">
        <v>24.5</v>
      </c>
      <c r="I47" s="93">
        <f t="shared" si="0"/>
        <v>35.880000000000003</v>
      </c>
      <c r="J47" s="92">
        <f t="shared" si="1"/>
        <v>32.630000000000003</v>
      </c>
      <c r="K47" s="58">
        <v>192</v>
      </c>
      <c r="L47" s="58">
        <v>770</v>
      </c>
      <c r="M47" s="58">
        <v>38</v>
      </c>
      <c r="N47" s="101">
        <v>0.95</v>
      </c>
      <c r="O47" s="33">
        <v>53</v>
      </c>
      <c r="P47" s="105">
        <v>3.0999999999999999E-3</v>
      </c>
      <c r="Q47" s="113">
        <v>1</v>
      </c>
      <c r="R47" s="105">
        <v>7.17E-2</v>
      </c>
      <c r="S47" s="109">
        <v>41.87</v>
      </c>
      <c r="T47" s="109">
        <v>7.35</v>
      </c>
      <c r="U47" s="109">
        <v>910.85</v>
      </c>
      <c r="V47" s="43">
        <v>1.1161000000000001</v>
      </c>
      <c r="W47" s="44">
        <v>1.5599999999999999E-2</v>
      </c>
    </row>
    <row r="48" spans="1:23" x14ac:dyDescent="0.25">
      <c r="A48" s="80">
        <v>1</v>
      </c>
      <c r="B48" s="81" t="s">
        <v>15</v>
      </c>
      <c r="C48" s="82" t="s">
        <v>86</v>
      </c>
      <c r="D48" s="51">
        <v>0</v>
      </c>
      <c r="E48" s="92">
        <v>57.34</v>
      </c>
      <c r="F48" s="92">
        <v>26.94</v>
      </c>
      <c r="G48" s="92">
        <v>66.02</v>
      </c>
      <c r="H48" s="93">
        <v>24.5</v>
      </c>
      <c r="I48" s="93">
        <f t="shared" si="0"/>
        <v>35.43</v>
      </c>
      <c r="J48" s="92">
        <f t="shared" si="1"/>
        <v>32.22</v>
      </c>
      <c r="K48" s="58">
        <v>192</v>
      </c>
      <c r="L48" s="58">
        <v>770</v>
      </c>
      <c r="M48" s="58">
        <v>38</v>
      </c>
      <c r="N48" s="101">
        <v>0.95</v>
      </c>
      <c r="O48" s="33">
        <v>53</v>
      </c>
      <c r="P48" s="105">
        <v>3.0000000000000001E-3</v>
      </c>
      <c r="Q48" s="113">
        <v>1</v>
      </c>
      <c r="R48" s="105">
        <v>6.9000000000000006E-2</v>
      </c>
      <c r="S48" s="109">
        <v>41.87</v>
      </c>
      <c r="T48" s="109">
        <v>7.35</v>
      </c>
      <c r="U48" s="109">
        <v>910.85</v>
      </c>
      <c r="V48" s="43">
        <v>1.1161000000000001</v>
      </c>
      <c r="W48" s="44">
        <v>1.5599999999999999E-2</v>
      </c>
    </row>
    <row r="49" spans="1:23" x14ac:dyDescent="0.25">
      <c r="A49" s="80">
        <v>1</v>
      </c>
      <c r="B49" s="81" t="s">
        <v>15</v>
      </c>
      <c r="C49" s="82" t="s">
        <v>87</v>
      </c>
      <c r="D49" s="51">
        <v>0</v>
      </c>
      <c r="E49" s="92">
        <v>57.34</v>
      </c>
      <c r="F49" s="92">
        <v>26.94</v>
      </c>
      <c r="G49" s="92">
        <v>65.92</v>
      </c>
      <c r="H49" s="93">
        <v>24.5</v>
      </c>
      <c r="I49" s="93">
        <f t="shared" si="0"/>
        <v>35.020000000000003</v>
      </c>
      <c r="J49" s="92">
        <f t="shared" si="1"/>
        <v>31.85</v>
      </c>
      <c r="K49" s="58">
        <v>192</v>
      </c>
      <c r="L49" s="58">
        <v>770</v>
      </c>
      <c r="M49" s="58">
        <v>38</v>
      </c>
      <c r="N49" s="101">
        <v>0.95</v>
      </c>
      <c r="O49" s="33">
        <v>53</v>
      </c>
      <c r="P49" s="105">
        <v>3.5000000000000001E-3</v>
      </c>
      <c r="Q49" s="113">
        <v>0.92</v>
      </c>
      <c r="R49" s="105">
        <v>8.7400000000000005E-2</v>
      </c>
      <c r="S49" s="109">
        <v>41.87</v>
      </c>
      <c r="T49" s="109">
        <v>7.35</v>
      </c>
      <c r="U49" s="109">
        <v>910.85</v>
      </c>
      <c r="V49" s="43">
        <v>1.1161000000000001</v>
      </c>
      <c r="W49" s="44">
        <v>1.5599999999999999E-2</v>
      </c>
    </row>
    <row r="50" spans="1:23" x14ac:dyDescent="0.25">
      <c r="A50" s="80">
        <v>1</v>
      </c>
      <c r="B50" s="81" t="s">
        <v>15</v>
      </c>
      <c r="C50" s="82" t="s">
        <v>88</v>
      </c>
      <c r="D50" s="51">
        <v>0</v>
      </c>
      <c r="E50" s="92">
        <v>57.34</v>
      </c>
      <c r="F50" s="92">
        <v>26.94</v>
      </c>
      <c r="G50" s="92">
        <v>65.81</v>
      </c>
      <c r="H50" s="93">
        <v>24.5</v>
      </c>
      <c r="I50" s="93">
        <f t="shared" si="0"/>
        <v>34.57</v>
      </c>
      <c r="J50" s="92">
        <f t="shared" si="1"/>
        <v>31.44</v>
      </c>
      <c r="K50" s="58">
        <v>192</v>
      </c>
      <c r="L50" s="58">
        <v>770</v>
      </c>
      <c r="M50" s="58">
        <v>38</v>
      </c>
      <c r="N50" s="101">
        <v>0.95</v>
      </c>
      <c r="O50" s="33">
        <v>53</v>
      </c>
      <c r="P50" s="105">
        <v>2.8E-3</v>
      </c>
      <c r="Q50" s="113">
        <v>1</v>
      </c>
      <c r="R50" s="105">
        <v>6.54E-2</v>
      </c>
      <c r="S50" s="109">
        <v>41.87</v>
      </c>
      <c r="T50" s="109">
        <v>7.35</v>
      </c>
      <c r="U50" s="109">
        <v>910.85</v>
      </c>
      <c r="V50" s="43">
        <v>1.1161000000000001</v>
      </c>
      <c r="W50" s="44">
        <v>1.5599999999999999E-2</v>
      </c>
    </row>
    <row r="51" spans="1:23" x14ac:dyDescent="0.25">
      <c r="A51" s="80">
        <v>1</v>
      </c>
      <c r="B51" s="81" t="s">
        <v>15</v>
      </c>
      <c r="C51" s="82" t="s">
        <v>89</v>
      </c>
      <c r="D51" s="51">
        <v>0</v>
      </c>
      <c r="E51" s="92">
        <v>57.34</v>
      </c>
      <c r="F51" s="92">
        <v>26.94</v>
      </c>
      <c r="G51" s="92">
        <v>65.7</v>
      </c>
      <c r="H51" s="93">
        <v>24.5</v>
      </c>
      <c r="I51" s="93">
        <f t="shared" si="0"/>
        <v>34.119999999999997</v>
      </c>
      <c r="J51" s="92">
        <f t="shared" si="1"/>
        <v>31.03</v>
      </c>
      <c r="K51" s="58">
        <v>192</v>
      </c>
      <c r="L51" s="58">
        <v>770</v>
      </c>
      <c r="M51" s="58">
        <v>38</v>
      </c>
      <c r="N51" s="101">
        <v>0.95</v>
      </c>
      <c r="O51" s="33">
        <v>53</v>
      </c>
      <c r="P51" s="105">
        <v>2.8E-3</v>
      </c>
      <c r="Q51" s="113">
        <v>1</v>
      </c>
      <c r="R51" s="105">
        <v>6.1400000000000003E-2</v>
      </c>
      <c r="S51" s="109">
        <v>41.87</v>
      </c>
      <c r="T51" s="109">
        <v>7.35</v>
      </c>
      <c r="U51" s="109">
        <v>910.85</v>
      </c>
      <c r="V51" s="43">
        <v>1.1161000000000001</v>
      </c>
      <c r="W51" s="44">
        <v>1.5599999999999999E-2</v>
      </c>
    </row>
    <row r="52" spans="1:23" x14ac:dyDescent="0.25">
      <c r="A52" s="80">
        <v>1</v>
      </c>
      <c r="B52" s="81" t="s">
        <v>15</v>
      </c>
      <c r="C52" s="82" t="s">
        <v>90</v>
      </c>
      <c r="D52" s="51">
        <v>0</v>
      </c>
      <c r="E52" s="92">
        <v>57.34</v>
      </c>
      <c r="F52" s="92">
        <v>26.94</v>
      </c>
      <c r="G52" s="92">
        <v>65.599999999999994</v>
      </c>
      <c r="H52" s="93">
        <v>24.5</v>
      </c>
      <c r="I52" s="93">
        <f t="shared" si="0"/>
        <v>33.71</v>
      </c>
      <c r="J52" s="92">
        <f t="shared" si="1"/>
        <v>30.66</v>
      </c>
      <c r="K52" s="58">
        <v>192</v>
      </c>
      <c r="L52" s="58">
        <v>770</v>
      </c>
      <c r="M52" s="58">
        <v>38</v>
      </c>
      <c r="N52" s="101">
        <v>0.95</v>
      </c>
      <c r="O52" s="33">
        <v>53</v>
      </c>
      <c r="P52" s="105">
        <v>2.5999999999999999E-3</v>
      </c>
      <c r="Q52" s="113">
        <v>1</v>
      </c>
      <c r="R52" s="105">
        <v>6.2399999999999997E-2</v>
      </c>
      <c r="S52" s="109">
        <v>41.87</v>
      </c>
      <c r="T52" s="109">
        <v>7.35</v>
      </c>
      <c r="U52" s="109">
        <v>910.85</v>
      </c>
      <c r="V52" s="43">
        <v>1.1161000000000001</v>
      </c>
      <c r="W52" s="44">
        <v>1.5599999999999999E-2</v>
      </c>
    </row>
    <row r="53" spans="1:23" x14ac:dyDescent="0.25">
      <c r="A53" s="80">
        <v>1</v>
      </c>
      <c r="B53" s="81" t="s">
        <v>15</v>
      </c>
      <c r="C53" s="82" t="s">
        <v>91</v>
      </c>
      <c r="D53" s="51">
        <v>0</v>
      </c>
      <c r="E53" s="92">
        <v>57.34</v>
      </c>
      <c r="F53" s="92">
        <v>26.94</v>
      </c>
      <c r="G53" s="92">
        <v>65.489999999999995</v>
      </c>
      <c r="H53" s="93">
        <v>24.5</v>
      </c>
      <c r="I53" s="93">
        <f t="shared" si="0"/>
        <v>33.270000000000003</v>
      </c>
      <c r="J53" s="92">
        <f t="shared" si="1"/>
        <v>30.25</v>
      </c>
      <c r="K53" s="58">
        <v>192</v>
      </c>
      <c r="L53" s="58">
        <v>770</v>
      </c>
      <c r="M53" s="58">
        <v>38</v>
      </c>
      <c r="N53" s="101">
        <v>0.95</v>
      </c>
      <c r="O53" s="33">
        <v>53</v>
      </c>
      <c r="P53" s="105">
        <v>2.5999999999999999E-3</v>
      </c>
      <c r="Q53" s="113">
        <v>0.99</v>
      </c>
      <c r="R53" s="105">
        <v>6.08E-2</v>
      </c>
      <c r="S53" s="109">
        <v>41.87</v>
      </c>
      <c r="T53" s="109">
        <v>7.35</v>
      </c>
      <c r="U53" s="109">
        <v>910.85</v>
      </c>
      <c r="V53" s="43">
        <v>1.1161000000000001</v>
      </c>
      <c r="W53" s="44">
        <v>1.5599999999999999E-2</v>
      </c>
    </row>
    <row r="54" spans="1:23" x14ac:dyDescent="0.25">
      <c r="A54" s="80">
        <v>1</v>
      </c>
      <c r="B54" s="81" t="s">
        <v>15</v>
      </c>
      <c r="C54" s="82" t="s">
        <v>92</v>
      </c>
      <c r="D54" s="51">
        <v>0</v>
      </c>
      <c r="E54" s="92">
        <v>57.34</v>
      </c>
      <c r="F54" s="92">
        <v>26.94</v>
      </c>
      <c r="G54" s="92">
        <v>65.39</v>
      </c>
      <c r="H54" s="93">
        <v>24.5</v>
      </c>
      <c r="I54" s="93">
        <f t="shared" si="0"/>
        <v>32.86</v>
      </c>
      <c r="J54" s="92">
        <f t="shared" si="1"/>
        <v>29.88</v>
      </c>
      <c r="K54" s="58">
        <v>192</v>
      </c>
      <c r="L54" s="58">
        <v>770</v>
      </c>
      <c r="M54" s="58">
        <v>38</v>
      </c>
      <c r="N54" s="101">
        <v>0.95</v>
      </c>
      <c r="O54" s="33">
        <v>53</v>
      </c>
      <c r="P54" s="105">
        <v>2.5000000000000001E-3</v>
      </c>
      <c r="Q54" s="113">
        <v>1</v>
      </c>
      <c r="R54" s="105">
        <v>5.2499999999999998E-2</v>
      </c>
      <c r="S54" s="109">
        <v>41.87</v>
      </c>
      <c r="T54" s="109">
        <v>7.35</v>
      </c>
      <c r="U54" s="109">
        <v>910.85</v>
      </c>
      <c r="V54" s="43">
        <v>1.1161000000000001</v>
      </c>
      <c r="W54" s="44">
        <v>1.5599999999999999E-2</v>
      </c>
    </row>
    <row r="55" spans="1:23" x14ac:dyDescent="0.25">
      <c r="A55" s="80">
        <v>1</v>
      </c>
      <c r="B55" s="81" t="s">
        <v>15</v>
      </c>
      <c r="C55" s="82" t="s">
        <v>93</v>
      </c>
      <c r="D55" s="51">
        <v>0</v>
      </c>
      <c r="E55" s="92">
        <v>57.34</v>
      </c>
      <c r="F55" s="92">
        <v>26.94</v>
      </c>
      <c r="G55" s="92">
        <v>65.290000000000006</v>
      </c>
      <c r="H55" s="93">
        <v>24.5</v>
      </c>
      <c r="I55" s="93">
        <f t="shared" si="0"/>
        <v>32.450000000000003</v>
      </c>
      <c r="J55" s="92">
        <f t="shared" si="1"/>
        <v>29.51</v>
      </c>
      <c r="K55" s="58">
        <v>192</v>
      </c>
      <c r="L55" s="58">
        <v>770</v>
      </c>
      <c r="M55" s="58">
        <v>38</v>
      </c>
      <c r="N55" s="101">
        <v>0.95</v>
      </c>
      <c r="O55" s="33">
        <v>53</v>
      </c>
      <c r="P55" s="105">
        <v>2.3999999999999998E-3</v>
      </c>
      <c r="Q55" s="113">
        <v>1</v>
      </c>
      <c r="R55" s="105">
        <v>5.11E-2</v>
      </c>
      <c r="S55" s="109">
        <v>41.87</v>
      </c>
      <c r="T55" s="109">
        <v>7.35</v>
      </c>
      <c r="U55" s="109">
        <v>910.85</v>
      </c>
      <c r="V55" s="43">
        <v>1.1161000000000001</v>
      </c>
      <c r="W55" s="44">
        <v>1.5599999999999999E-2</v>
      </c>
    </row>
    <row r="56" spans="1:23" x14ac:dyDescent="0.25">
      <c r="A56" s="80">
        <v>1</v>
      </c>
      <c r="B56" s="81" t="s">
        <v>15</v>
      </c>
      <c r="C56" s="82" t="s">
        <v>94</v>
      </c>
      <c r="D56" s="51">
        <v>0</v>
      </c>
      <c r="E56" s="92">
        <v>57.34</v>
      </c>
      <c r="F56" s="92">
        <v>26.94</v>
      </c>
      <c r="G56" s="92">
        <v>65.180000000000007</v>
      </c>
      <c r="H56" s="93">
        <v>24.5</v>
      </c>
      <c r="I56" s="93">
        <f t="shared" si="0"/>
        <v>32</v>
      </c>
      <c r="J56" s="92">
        <f t="shared" si="1"/>
        <v>29.1</v>
      </c>
      <c r="K56" s="58">
        <v>192</v>
      </c>
      <c r="L56" s="58">
        <v>770</v>
      </c>
      <c r="M56" s="58">
        <v>38</v>
      </c>
      <c r="N56" s="101">
        <v>0.95</v>
      </c>
      <c r="O56" s="33">
        <v>53</v>
      </c>
      <c r="P56" s="105">
        <v>2.3E-3</v>
      </c>
      <c r="Q56" s="113">
        <v>1</v>
      </c>
      <c r="R56" s="105">
        <v>4.7E-2</v>
      </c>
      <c r="S56" s="109">
        <v>41.87</v>
      </c>
      <c r="T56" s="109">
        <v>7.35</v>
      </c>
      <c r="U56" s="109">
        <v>910.85</v>
      </c>
      <c r="V56" s="43">
        <v>1.1161000000000001</v>
      </c>
      <c r="W56" s="44">
        <v>1.5599999999999999E-2</v>
      </c>
    </row>
    <row r="57" spans="1:23" x14ac:dyDescent="0.25">
      <c r="A57" s="80">
        <v>1</v>
      </c>
      <c r="B57" s="81" t="s">
        <v>15</v>
      </c>
      <c r="C57" s="82" t="s">
        <v>95</v>
      </c>
      <c r="D57" s="51">
        <v>0</v>
      </c>
      <c r="E57" s="92">
        <v>57.34</v>
      </c>
      <c r="F57" s="92">
        <v>26.94</v>
      </c>
      <c r="G57" s="92">
        <v>65.069999999999993</v>
      </c>
      <c r="H57" s="93">
        <v>24.5</v>
      </c>
      <c r="I57" s="93">
        <f t="shared" si="0"/>
        <v>31.55</v>
      </c>
      <c r="J57" s="92">
        <f t="shared" si="1"/>
        <v>28.69</v>
      </c>
      <c r="K57" s="58">
        <v>192</v>
      </c>
      <c r="L57" s="58">
        <v>770</v>
      </c>
      <c r="M57" s="58">
        <v>38</v>
      </c>
      <c r="N57" s="101">
        <v>0.95</v>
      </c>
      <c r="O57" s="33">
        <v>53</v>
      </c>
      <c r="P57" s="105">
        <v>2.2000000000000001E-3</v>
      </c>
      <c r="Q57" s="113">
        <v>1</v>
      </c>
      <c r="R57" s="105">
        <v>4.24E-2</v>
      </c>
      <c r="S57" s="109">
        <v>41.87</v>
      </c>
      <c r="T57" s="109">
        <v>7.35</v>
      </c>
      <c r="U57" s="109">
        <v>910.85</v>
      </c>
      <c r="V57" s="43">
        <v>1.1161000000000001</v>
      </c>
      <c r="W57" s="44">
        <v>1.5599999999999999E-2</v>
      </c>
    </row>
    <row r="58" spans="1:23" x14ac:dyDescent="0.25">
      <c r="A58" s="80">
        <v>1</v>
      </c>
      <c r="B58" s="81" t="s">
        <v>15</v>
      </c>
      <c r="C58" s="82" t="s">
        <v>96</v>
      </c>
      <c r="D58" s="51">
        <v>0</v>
      </c>
      <c r="E58" s="92">
        <v>57.34</v>
      </c>
      <c r="F58" s="92">
        <v>26.94</v>
      </c>
      <c r="G58" s="92">
        <v>64.97</v>
      </c>
      <c r="H58" s="93">
        <v>24.5</v>
      </c>
      <c r="I58" s="93">
        <f t="shared" si="0"/>
        <v>31.14</v>
      </c>
      <c r="J58" s="92">
        <f t="shared" si="1"/>
        <v>28.32</v>
      </c>
      <c r="K58" s="58">
        <v>192</v>
      </c>
      <c r="L58" s="58">
        <v>770</v>
      </c>
      <c r="M58" s="58">
        <v>38</v>
      </c>
      <c r="N58" s="101">
        <v>0.95</v>
      </c>
      <c r="O58" s="33">
        <v>53</v>
      </c>
      <c r="P58" s="105">
        <v>2.5000000000000001E-3</v>
      </c>
      <c r="Q58" s="113">
        <v>0.94</v>
      </c>
      <c r="R58" s="105">
        <v>5.5E-2</v>
      </c>
      <c r="S58" s="109">
        <v>41.87</v>
      </c>
      <c r="T58" s="109">
        <v>7.35</v>
      </c>
      <c r="U58" s="109">
        <v>910.85</v>
      </c>
      <c r="V58" s="43">
        <v>1.1161000000000001</v>
      </c>
      <c r="W58" s="44">
        <v>1.5599999999999999E-2</v>
      </c>
    </row>
    <row r="59" spans="1:23" x14ac:dyDescent="0.25">
      <c r="A59" s="80">
        <v>1</v>
      </c>
      <c r="B59" s="81" t="s">
        <v>15</v>
      </c>
      <c r="C59" s="82" t="s">
        <v>97</v>
      </c>
      <c r="D59" s="51">
        <v>0</v>
      </c>
      <c r="E59" s="92">
        <v>57.34</v>
      </c>
      <c r="F59" s="92">
        <v>26.94</v>
      </c>
      <c r="G59" s="92">
        <v>64.87</v>
      </c>
      <c r="H59" s="93">
        <v>24.5</v>
      </c>
      <c r="I59" s="93">
        <f t="shared" si="0"/>
        <v>30.73</v>
      </c>
      <c r="J59" s="92">
        <f t="shared" si="1"/>
        <v>27.95</v>
      </c>
      <c r="K59" s="58">
        <v>192</v>
      </c>
      <c r="L59" s="58">
        <v>770</v>
      </c>
      <c r="M59" s="58">
        <v>38</v>
      </c>
      <c r="N59" s="101">
        <v>0.95</v>
      </c>
      <c r="O59" s="33">
        <v>53</v>
      </c>
      <c r="P59" s="105">
        <v>2.3E-3</v>
      </c>
      <c r="Q59" s="113">
        <v>0.94</v>
      </c>
      <c r="R59" s="105">
        <v>5.0799999999999998E-2</v>
      </c>
      <c r="S59" s="109">
        <v>41.87</v>
      </c>
      <c r="T59" s="109">
        <v>7.35</v>
      </c>
      <c r="U59" s="109">
        <v>910.85</v>
      </c>
      <c r="V59" s="43">
        <v>1.1161000000000001</v>
      </c>
      <c r="W59" s="44">
        <v>1.5599999999999999E-2</v>
      </c>
    </row>
    <row r="60" spans="1:23" x14ac:dyDescent="0.25">
      <c r="A60" s="80">
        <v>1</v>
      </c>
      <c r="B60" s="81" t="s">
        <v>15</v>
      </c>
      <c r="C60" s="82" t="s">
        <v>98</v>
      </c>
      <c r="D60" s="51">
        <v>0</v>
      </c>
      <c r="E60" s="92">
        <v>57.34</v>
      </c>
      <c r="F60" s="92">
        <v>26.94</v>
      </c>
      <c r="G60" s="92">
        <v>64.760000000000005</v>
      </c>
      <c r="H60" s="93">
        <v>24.5</v>
      </c>
      <c r="I60" s="93">
        <f t="shared" si="0"/>
        <v>30.29</v>
      </c>
      <c r="J60" s="92">
        <f t="shared" si="1"/>
        <v>27.54</v>
      </c>
      <c r="K60" s="58">
        <v>192</v>
      </c>
      <c r="L60" s="58">
        <v>770</v>
      </c>
      <c r="M60" s="58">
        <v>38</v>
      </c>
      <c r="N60" s="101">
        <v>0.95</v>
      </c>
      <c r="O60" s="33">
        <v>53</v>
      </c>
      <c r="P60" s="105">
        <v>2.2000000000000001E-3</v>
      </c>
      <c r="Q60" s="113">
        <v>0.93</v>
      </c>
      <c r="R60" s="105">
        <v>4.8000000000000001E-2</v>
      </c>
      <c r="S60" s="109">
        <v>41.87</v>
      </c>
      <c r="T60" s="109">
        <v>7.35</v>
      </c>
      <c r="U60" s="109">
        <v>910.85</v>
      </c>
      <c r="V60" s="43">
        <v>1.1161000000000001</v>
      </c>
      <c r="W60" s="44">
        <v>1.5599999999999999E-2</v>
      </c>
    </row>
    <row r="61" spans="1:23" x14ac:dyDescent="0.25">
      <c r="A61" s="80">
        <v>1</v>
      </c>
      <c r="B61" s="81" t="s">
        <v>15</v>
      </c>
      <c r="C61" s="82" t="s">
        <v>99</v>
      </c>
      <c r="D61" s="51">
        <v>0</v>
      </c>
      <c r="E61" s="92">
        <v>57.34</v>
      </c>
      <c r="F61" s="92">
        <v>26.94</v>
      </c>
      <c r="G61" s="92">
        <v>64.650000000000006</v>
      </c>
      <c r="H61" s="93">
        <v>24.5</v>
      </c>
      <c r="I61" s="93">
        <f t="shared" si="0"/>
        <v>29.84</v>
      </c>
      <c r="J61" s="92">
        <f t="shared" si="1"/>
        <v>27.13</v>
      </c>
      <c r="K61" s="58">
        <v>192</v>
      </c>
      <c r="L61" s="58">
        <v>770</v>
      </c>
      <c r="M61" s="58">
        <v>38</v>
      </c>
      <c r="N61" s="101">
        <v>0.95</v>
      </c>
      <c r="O61" s="33">
        <v>53</v>
      </c>
      <c r="P61" s="105">
        <v>2E-3</v>
      </c>
      <c r="Q61" s="113">
        <v>0.93</v>
      </c>
      <c r="R61" s="105">
        <v>4.7600000000000003E-2</v>
      </c>
      <c r="S61" s="109">
        <v>41.87</v>
      </c>
      <c r="T61" s="109">
        <v>7.35</v>
      </c>
      <c r="U61" s="109">
        <v>910.85</v>
      </c>
      <c r="V61" s="43">
        <v>1.1161000000000001</v>
      </c>
      <c r="W61" s="44">
        <v>1.5599999999999999E-2</v>
      </c>
    </row>
    <row r="62" spans="1:23" x14ac:dyDescent="0.25">
      <c r="A62" s="80">
        <v>1</v>
      </c>
      <c r="B62" s="81" t="s">
        <v>15</v>
      </c>
      <c r="C62" s="82" t="s">
        <v>100</v>
      </c>
      <c r="D62" s="51">
        <v>0</v>
      </c>
      <c r="E62" s="92">
        <v>57.34</v>
      </c>
      <c r="F62" s="92">
        <v>26.94</v>
      </c>
      <c r="G62" s="92">
        <v>64.55</v>
      </c>
      <c r="H62" s="93">
        <v>24.5</v>
      </c>
      <c r="I62" s="93">
        <f t="shared" si="0"/>
        <v>29.43</v>
      </c>
      <c r="J62" s="92">
        <f t="shared" si="1"/>
        <v>26.76</v>
      </c>
      <c r="K62" s="58">
        <v>192</v>
      </c>
      <c r="L62" s="58">
        <v>770</v>
      </c>
      <c r="M62" s="58">
        <v>38</v>
      </c>
      <c r="N62" s="101">
        <v>0.95</v>
      </c>
      <c r="O62" s="33">
        <v>53</v>
      </c>
      <c r="P62" s="105">
        <v>2.7000000000000001E-3</v>
      </c>
      <c r="Q62" s="113">
        <v>0.83</v>
      </c>
      <c r="R62" s="105">
        <v>6.7599999999999993E-2</v>
      </c>
      <c r="S62" s="109">
        <v>41.87</v>
      </c>
      <c r="T62" s="109">
        <v>7.35</v>
      </c>
      <c r="U62" s="109">
        <v>910.85</v>
      </c>
      <c r="V62" s="43">
        <v>1.1161000000000001</v>
      </c>
      <c r="W62" s="44">
        <v>1.5599999999999999E-2</v>
      </c>
    </row>
    <row r="63" spans="1:23" x14ac:dyDescent="0.25">
      <c r="A63" s="80">
        <v>1</v>
      </c>
      <c r="B63" s="81" t="s">
        <v>15</v>
      </c>
      <c r="C63" s="82" t="s">
        <v>101</v>
      </c>
      <c r="D63" s="51">
        <v>0</v>
      </c>
      <c r="E63" s="92">
        <v>57.34</v>
      </c>
      <c r="F63" s="92">
        <v>26.94</v>
      </c>
      <c r="G63" s="92">
        <v>64.45</v>
      </c>
      <c r="H63" s="93">
        <v>24.5</v>
      </c>
      <c r="I63" s="93">
        <f t="shared" si="0"/>
        <v>29.02</v>
      </c>
      <c r="J63" s="92">
        <f t="shared" si="1"/>
        <v>26.39</v>
      </c>
      <c r="K63" s="58">
        <v>192</v>
      </c>
      <c r="L63" s="58">
        <v>770</v>
      </c>
      <c r="M63" s="58">
        <v>38</v>
      </c>
      <c r="N63" s="101">
        <v>0.95</v>
      </c>
      <c r="O63" s="33">
        <v>53</v>
      </c>
      <c r="P63" s="105">
        <v>1.1900000000000001E-2</v>
      </c>
      <c r="Q63" s="113">
        <v>0.45</v>
      </c>
      <c r="R63" s="105">
        <v>0.12130000000000001</v>
      </c>
      <c r="S63" s="109">
        <v>41.87</v>
      </c>
      <c r="T63" s="109">
        <v>7.35</v>
      </c>
      <c r="U63" s="109">
        <v>910.85</v>
      </c>
      <c r="V63" s="43">
        <v>1.1161000000000001</v>
      </c>
      <c r="W63" s="44">
        <v>1.5599999999999999E-2</v>
      </c>
    </row>
    <row r="64" spans="1:23" x14ac:dyDescent="0.25">
      <c r="A64" s="80">
        <v>1</v>
      </c>
      <c r="B64" s="81" t="s">
        <v>15</v>
      </c>
      <c r="C64" s="82" t="s">
        <v>102</v>
      </c>
      <c r="D64" s="51">
        <v>0</v>
      </c>
      <c r="E64" s="92">
        <v>57.34</v>
      </c>
      <c r="F64" s="92">
        <v>26.94</v>
      </c>
      <c r="G64" s="92">
        <v>64.34</v>
      </c>
      <c r="H64" s="93">
        <v>24.5</v>
      </c>
      <c r="I64" s="93">
        <f t="shared" si="0"/>
        <v>28.57</v>
      </c>
      <c r="J64" s="92">
        <f t="shared" si="1"/>
        <v>25.98</v>
      </c>
      <c r="K64" s="58">
        <v>192</v>
      </c>
      <c r="L64" s="58">
        <v>770</v>
      </c>
      <c r="M64" s="58">
        <v>38</v>
      </c>
      <c r="N64" s="101">
        <v>0.95</v>
      </c>
      <c r="O64" s="33">
        <v>53</v>
      </c>
      <c r="P64" s="105">
        <v>1.15E-2</v>
      </c>
      <c r="Q64" s="113">
        <v>0.45</v>
      </c>
      <c r="R64" s="105">
        <v>0.1173</v>
      </c>
      <c r="S64" s="109">
        <v>41.87</v>
      </c>
      <c r="T64" s="109">
        <v>7.35</v>
      </c>
      <c r="U64" s="109">
        <v>910.85</v>
      </c>
      <c r="V64" s="43">
        <v>1.1161000000000001</v>
      </c>
      <c r="W64" s="44">
        <v>1.5599999999999999E-2</v>
      </c>
    </row>
    <row r="65" spans="1:23" x14ac:dyDescent="0.25">
      <c r="A65" s="80">
        <v>1</v>
      </c>
      <c r="B65" s="81" t="s">
        <v>15</v>
      </c>
      <c r="C65" s="82" t="s">
        <v>103</v>
      </c>
      <c r="D65" s="51">
        <v>0</v>
      </c>
      <c r="E65" s="92">
        <v>57.34</v>
      </c>
      <c r="F65" s="92">
        <v>26.94</v>
      </c>
      <c r="G65" s="92">
        <v>64.23</v>
      </c>
      <c r="H65" s="93">
        <v>24.5</v>
      </c>
      <c r="I65" s="93">
        <f t="shared" si="0"/>
        <v>28.12</v>
      </c>
      <c r="J65" s="92">
        <f t="shared" si="1"/>
        <v>25.58</v>
      </c>
      <c r="K65" s="58">
        <v>192</v>
      </c>
      <c r="L65" s="58">
        <v>770</v>
      </c>
      <c r="M65" s="58">
        <v>38</v>
      </c>
      <c r="N65" s="101">
        <v>0.95</v>
      </c>
      <c r="O65" s="33">
        <v>53</v>
      </c>
      <c r="P65" s="105">
        <v>1.2500000000000001E-2</v>
      </c>
      <c r="Q65" s="113">
        <v>0.42</v>
      </c>
      <c r="R65" s="105">
        <v>0.12180000000000001</v>
      </c>
      <c r="S65" s="109">
        <v>41.87</v>
      </c>
      <c r="T65" s="109">
        <v>7.35</v>
      </c>
      <c r="U65" s="109">
        <v>910.85</v>
      </c>
      <c r="V65" s="43">
        <v>1.1161000000000001</v>
      </c>
      <c r="W65" s="44">
        <v>1.5599999999999999E-2</v>
      </c>
    </row>
    <row r="66" spans="1:23" x14ac:dyDescent="0.25">
      <c r="A66" s="80">
        <v>1</v>
      </c>
      <c r="B66" s="81" t="s">
        <v>15</v>
      </c>
      <c r="C66" s="82" t="s">
        <v>104</v>
      </c>
      <c r="D66" s="51">
        <v>0</v>
      </c>
      <c r="E66" s="92">
        <v>57.34</v>
      </c>
      <c r="F66" s="92">
        <v>26.94</v>
      </c>
      <c r="G66" s="92">
        <v>64.13</v>
      </c>
      <c r="H66" s="93">
        <v>24.5</v>
      </c>
      <c r="I66" s="93">
        <f t="shared" si="0"/>
        <v>27.71</v>
      </c>
      <c r="J66" s="92">
        <f t="shared" si="1"/>
        <v>25.2</v>
      </c>
      <c r="K66" s="58">
        <v>192</v>
      </c>
      <c r="L66" s="58">
        <v>770</v>
      </c>
      <c r="M66" s="58">
        <v>38</v>
      </c>
      <c r="N66" s="101">
        <v>0.95</v>
      </c>
      <c r="O66" s="33">
        <v>53</v>
      </c>
      <c r="P66" s="105">
        <v>1.0500000000000001E-2</v>
      </c>
      <c r="Q66" s="113">
        <v>0.44</v>
      </c>
      <c r="R66" s="105">
        <v>0.12740000000000001</v>
      </c>
      <c r="S66" s="109">
        <v>41.87</v>
      </c>
      <c r="T66" s="109">
        <v>7.35</v>
      </c>
      <c r="U66" s="109">
        <v>910.85</v>
      </c>
      <c r="V66" s="43">
        <v>1.1161000000000001</v>
      </c>
      <c r="W66" s="44">
        <v>1.5599999999999999E-2</v>
      </c>
    </row>
    <row r="67" spans="1:23" x14ac:dyDescent="0.25">
      <c r="A67" s="80">
        <v>1</v>
      </c>
      <c r="B67" s="81" t="s">
        <v>15</v>
      </c>
      <c r="C67" s="82" t="s">
        <v>105</v>
      </c>
      <c r="D67" s="51">
        <v>0</v>
      </c>
      <c r="E67" s="92">
        <v>57.34</v>
      </c>
      <c r="F67" s="92">
        <v>26.94</v>
      </c>
      <c r="G67" s="92">
        <v>64.02</v>
      </c>
      <c r="H67" s="93">
        <v>24.5</v>
      </c>
      <c r="I67" s="93">
        <f t="shared" si="0"/>
        <v>27.27</v>
      </c>
      <c r="J67" s="92">
        <f t="shared" si="1"/>
        <v>24.8</v>
      </c>
      <c r="K67" s="58">
        <v>192</v>
      </c>
      <c r="L67" s="58">
        <v>770</v>
      </c>
      <c r="M67" s="58">
        <v>38</v>
      </c>
      <c r="N67" s="101">
        <v>0.95</v>
      </c>
      <c r="O67" s="33">
        <v>53</v>
      </c>
      <c r="P67" s="105">
        <v>8.6999999999999994E-3</v>
      </c>
      <c r="Q67" s="113">
        <v>0.45</v>
      </c>
      <c r="R67" s="105">
        <v>0.13059999999999999</v>
      </c>
      <c r="S67" s="109">
        <v>41.87</v>
      </c>
      <c r="T67" s="109">
        <v>7.35</v>
      </c>
      <c r="U67" s="109">
        <v>910.85</v>
      </c>
      <c r="V67" s="43">
        <v>1.1161000000000001</v>
      </c>
      <c r="W67" s="44">
        <v>1.5599999999999999E-2</v>
      </c>
    </row>
    <row r="68" spans="1:23" x14ac:dyDescent="0.25">
      <c r="A68" s="80">
        <v>1</v>
      </c>
      <c r="B68" s="81" t="s">
        <v>15</v>
      </c>
      <c r="C68" s="82" t="s">
        <v>106</v>
      </c>
      <c r="D68" s="51">
        <v>0</v>
      </c>
      <c r="E68" s="92">
        <v>57.34</v>
      </c>
      <c r="F68" s="92">
        <v>26.94</v>
      </c>
      <c r="G68" s="92">
        <v>63.92</v>
      </c>
      <c r="H68" s="93">
        <v>24.5</v>
      </c>
      <c r="I68" s="93">
        <f t="shared" ref="I68:I131" si="2">100*(G68-E68)/H68</f>
        <v>26.86</v>
      </c>
      <c r="J68" s="92">
        <f t="shared" ref="J68:J131" si="3">100*(G68-E68)/F68</f>
        <v>24.42</v>
      </c>
      <c r="K68" s="58">
        <v>192</v>
      </c>
      <c r="L68" s="58">
        <v>770</v>
      </c>
      <c r="M68" s="58">
        <v>38</v>
      </c>
      <c r="N68" s="101">
        <v>0.95</v>
      </c>
      <c r="O68" s="33">
        <v>53</v>
      </c>
      <c r="P68" s="105">
        <v>8.6E-3</v>
      </c>
      <c r="Q68" s="113">
        <v>0.45</v>
      </c>
      <c r="R68" s="105">
        <v>0.1265</v>
      </c>
      <c r="S68" s="109">
        <v>41.87</v>
      </c>
      <c r="T68" s="109">
        <v>7.35</v>
      </c>
      <c r="U68" s="109">
        <v>910.85</v>
      </c>
      <c r="V68" s="43">
        <v>1.1161000000000001</v>
      </c>
      <c r="W68" s="44">
        <v>1.5599999999999999E-2</v>
      </c>
    </row>
    <row r="69" spans="1:23" x14ac:dyDescent="0.25">
      <c r="A69" s="80">
        <v>1</v>
      </c>
      <c r="B69" s="81" t="s">
        <v>15</v>
      </c>
      <c r="C69" s="82" t="s">
        <v>107</v>
      </c>
      <c r="D69" s="51">
        <v>0</v>
      </c>
      <c r="E69" s="92">
        <v>57.34</v>
      </c>
      <c r="F69" s="92">
        <v>26.94</v>
      </c>
      <c r="G69" s="92">
        <v>63.82</v>
      </c>
      <c r="H69" s="93">
        <v>24.5</v>
      </c>
      <c r="I69" s="93">
        <f t="shared" si="2"/>
        <v>26.45</v>
      </c>
      <c r="J69" s="92">
        <f t="shared" si="3"/>
        <v>24.05</v>
      </c>
      <c r="K69" s="58">
        <v>192</v>
      </c>
      <c r="L69" s="58">
        <v>770</v>
      </c>
      <c r="M69" s="58">
        <v>38</v>
      </c>
      <c r="N69" s="101">
        <v>0.95</v>
      </c>
      <c r="O69" s="33">
        <v>53</v>
      </c>
      <c r="P69" s="105">
        <v>8.2000000000000007E-3</v>
      </c>
      <c r="Q69" s="113">
        <v>0.45</v>
      </c>
      <c r="R69" s="105">
        <v>0.1275</v>
      </c>
      <c r="S69" s="109">
        <v>41.87</v>
      </c>
      <c r="T69" s="109">
        <v>7.35</v>
      </c>
      <c r="U69" s="109">
        <v>910.85</v>
      </c>
      <c r="V69" s="43">
        <v>1.1161000000000001</v>
      </c>
      <c r="W69" s="44">
        <v>1.5599999999999999E-2</v>
      </c>
    </row>
    <row r="70" spans="1:23" x14ac:dyDescent="0.25">
      <c r="A70" s="80">
        <v>1</v>
      </c>
      <c r="B70" s="81" t="s">
        <v>15</v>
      </c>
      <c r="C70" s="82" t="s">
        <v>108</v>
      </c>
      <c r="D70" s="51">
        <v>0</v>
      </c>
      <c r="E70" s="92">
        <v>57.34</v>
      </c>
      <c r="F70" s="92">
        <v>26.94</v>
      </c>
      <c r="G70" s="92">
        <v>63.72</v>
      </c>
      <c r="H70" s="93">
        <v>24.5</v>
      </c>
      <c r="I70" s="93">
        <f t="shared" si="2"/>
        <v>26.04</v>
      </c>
      <c r="J70" s="92">
        <f t="shared" si="3"/>
        <v>23.68</v>
      </c>
      <c r="K70" s="58">
        <v>192</v>
      </c>
      <c r="L70" s="58">
        <v>770</v>
      </c>
      <c r="M70" s="58">
        <v>38</v>
      </c>
      <c r="N70" s="101">
        <v>0.95</v>
      </c>
      <c r="O70" s="33">
        <v>53</v>
      </c>
      <c r="P70" s="105">
        <v>9.9000000000000008E-3</v>
      </c>
      <c r="Q70" s="113">
        <v>0.41</v>
      </c>
      <c r="R70" s="105">
        <v>0.127</v>
      </c>
      <c r="S70" s="109">
        <v>41.87</v>
      </c>
      <c r="T70" s="109">
        <v>7.35</v>
      </c>
      <c r="U70" s="109">
        <v>910.85</v>
      </c>
      <c r="V70" s="43">
        <v>1.1161000000000001</v>
      </c>
      <c r="W70" s="44">
        <v>1.5599999999999999E-2</v>
      </c>
    </row>
    <row r="71" spans="1:23" x14ac:dyDescent="0.25">
      <c r="A71" s="80">
        <v>1</v>
      </c>
      <c r="B71" s="81" t="s">
        <v>15</v>
      </c>
      <c r="C71" s="82" t="s">
        <v>109</v>
      </c>
      <c r="D71" s="51">
        <v>0</v>
      </c>
      <c r="E71" s="92">
        <v>57.34</v>
      </c>
      <c r="F71" s="92">
        <v>26.94</v>
      </c>
      <c r="G71" s="92">
        <v>63.62</v>
      </c>
      <c r="H71" s="93">
        <v>24.5</v>
      </c>
      <c r="I71" s="93">
        <f t="shared" si="2"/>
        <v>25.63</v>
      </c>
      <c r="J71" s="92">
        <f t="shared" si="3"/>
        <v>23.31</v>
      </c>
      <c r="K71" s="58">
        <v>192</v>
      </c>
      <c r="L71" s="58">
        <v>770</v>
      </c>
      <c r="M71" s="58">
        <v>38</v>
      </c>
      <c r="N71" s="101">
        <v>0.95</v>
      </c>
      <c r="O71" s="33">
        <v>53</v>
      </c>
      <c r="P71" s="105">
        <v>8.0999999999999996E-3</v>
      </c>
      <c r="Q71" s="113">
        <v>0.44</v>
      </c>
      <c r="R71" s="105">
        <v>0.12889999999999999</v>
      </c>
      <c r="S71" s="109">
        <v>41.87</v>
      </c>
      <c r="T71" s="109">
        <v>7.35</v>
      </c>
      <c r="U71" s="109">
        <v>910.85</v>
      </c>
      <c r="V71" s="43">
        <v>1.1161000000000001</v>
      </c>
      <c r="W71" s="44">
        <v>1.5599999999999999E-2</v>
      </c>
    </row>
    <row r="72" spans="1:23" x14ac:dyDescent="0.25">
      <c r="A72" s="80">
        <v>1</v>
      </c>
      <c r="B72" s="81" t="s">
        <v>15</v>
      </c>
      <c r="C72" s="82" t="s">
        <v>110</v>
      </c>
      <c r="D72" s="51">
        <v>0</v>
      </c>
      <c r="E72" s="92">
        <v>57.34</v>
      </c>
      <c r="F72" s="92">
        <v>26.94</v>
      </c>
      <c r="G72" s="92">
        <v>63.52</v>
      </c>
      <c r="H72" s="93">
        <v>24.5</v>
      </c>
      <c r="I72" s="93">
        <f t="shared" si="2"/>
        <v>25.22</v>
      </c>
      <c r="J72" s="92">
        <f t="shared" si="3"/>
        <v>22.94</v>
      </c>
      <c r="K72" s="58">
        <v>192</v>
      </c>
      <c r="L72" s="58">
        <v>770</v>
      </c>
      <c r="M72" s="58">
        <v>38</v>
      </c>
      <c r="N72" s="101">
        <v>0.95</v>
      </c>
      <c r="O72" s="33">
        <v>53</v>
      </c>
      <c r="P72" s="105">
        <v>8.8999999999999999E-3</v>
      </c>
      <c r="Q72" s="113">
        <v>0.42</v>
      </c>
      <c r="R72" s="105">
        <v>0.1226</v>
      </c>
      <c r="S72" s="109">
        <v>41.87</v>
      </c>
      <c r="T72" s="109">
        <v>7.35</v>
      </c>
      <c r="U72" s="109">
        <v>910.85</v>
      </c>
      <c r="V72" s="43">
        <v>1.1161000000000001</v>
      </c>
      <c r="W72" s="44">
        <v>1.5599999999999999E-2</v>
      </c>
    </row>
    <row r="73" spans="1:23" x14ac:dyDescent="0.25">
      <c r="A73" s="80">
        <v>1</v>
      </c>
      <c r="B73" s="81" t="s">
        <v>15</v>
      </c>
      <c r="C73" s="82" t="s">
        <v>111</v>
      </c>
      <c r="D73" s="51">
        <v>0</v>
      </c>
      <c r="E73" s="92">
        <v>57.34</v>
      </c>
      <c r="F73" s="92">
        <v>26.94</v>
      </c>
      <c r="G73" s="92">
        <v>63.42</v>
      </c>
      <c r="H73" s="93">
        <v>24.5</v>
      </c>
      <c r="I73" s="93">
        <f t="shared" si="2"/>
        <v>24.82</v>
      </c>
      <c r="J73" s="92">
        <f t="shared" si="3"/>
        <v>22.57</v>
      </c>
      <c r="K73" s="58">
        <v>192</v>
      </c>
      <c r="L73" s="58">
        <v>770</v>
      </c>
      <c r="M73" s="58">
        <v>38</v>
      </c>
      <c r="N73" s="101">
        <v>0.95</v>
      </c>
      <c r="O73" s="33">
        <v>53</v>
      </c>
      <c r="P73" s="105">
        <v>7.3000000000000001E-3</v>
      </c>
      <c r="Q73" s="113">
        <v>0.44</v>
      </c>
      <c r="R73" s="105">
        <v>0.1186</v>
      </c>
      <c r="S73" s="109">
        <v>41.87</v>
      </c>
      <c r="T73" s="109">
        <v>7.35</v>
      </c>
      <c r="U73" s="109">
        <v>910.85</v>
      </c>
      <c r="V73" s="43">
        <v>1.1161000000000001</v>
      </c>
      <c r="W73" s="44">
        <v>1.5599999999999999E-2</v>
      </c>
    </row>
    <row r="74" spans="1:23" x14ac:dyDescent="0.25">
      <c r="A74" s="80">
        <v>1</v>
      </c>
      <c r="B74" s="81" t="s">
        <v>15</v>
      </c>
      <c r="C74" s="82" t="s">
        <v>112</v>
      </c>
      <c r="D74" s="51">
        <v>0</v>
      </c>
      <c r="E74" s="92">
        <v>57.34</v>
      </c>
      <c r="F74" s="92">
        <v>26.94</v>
      </c>
      <c r="G74" s="92">
        <v>63.31</v>
      </c>
      <c r="H74" s="93">
        <v>24.5</v>
      </c>
      <c r="I74" s="93">
        <f t="shared" si="2"/>
        <v>24.37</v>
      </c>
      <c r="J74" s="92">
        <f t="shared" si="3"/>
        <v>22.16</v>
      </c>
      <c r="K74" s="58">
        <v>192</v>
      </c>
      <c r="L74" s="58">
        <v>770</v>
      </c>
      <c r="M74" s="58">
        <v>38</v>
      </c>
      <c r="N74" s="101">
        <v>0.95</v>
      </c>
      <c r="O74" s="33">
        <v>53</v>
      </c>
      <c r="P74" s="105">
        <v>7.3000000000000001E-3</v>
      </c>
      <c r="Q74" s="113">
        <v>0.43</v>
      </c>
      <c r="R74" s="105">
        <v>0.1227</v>
      </c>
      <c r="S74" s="109">
        <v>41.87</v>
      </c>
      <c r="T74" s="109">
        <v>7.35</v>
      </c>
      <c r="U74" s="109">
        <v>910.85</v>
      </c>
      <c r="V74" s="43">
        <v>1.1161000000000001</v>
      </c>
      <c r="W74" s="44">
        <v>1.5599999999999999E-2</v>
      </c>
    </row>
    <row r="75" spans="1:23" x14ac:dyDescent="0.25">
      <c r="A75" s="80">
        <v>1</v>
      </c>
      <c r="B75" s="81" t="s">
        <v>15</v>
      </c>
      <c r="C75" s="82" t="s">
        <v>113</v>
      </c>
      <c r="D75" s="51">
        <v>0</v>
      </c>
      <c r="E75" s="92">
        <v>57.34</v>
      </c>
      <c r="F75" s="92">
        <v>26.94</v>
      </c>
      <c r="G75" s="92">
        <v>63.22</v>
      </c>
      <c r="H75" s="93">
        <v>24.5</v>
      </c>
      <c r="I75" s="93">
        <f t="shared" si="2"/>
        <v>24</v>
      </c>
      <c r="J75" s="92">
        <f t="shared" si="3"/>
        <v>21.83</v>
      </c>
      <c r="K75" s="58">
        <v>192</v>
      </c>
      <c r="L75" s="58">
        <v>770</v>
      </c>
      <c r="M75" s="58">
        <v>38</v>
      </c>
      <c r="N75" s="101">
        <v>0.95</v>
      </c>
      <c r="O75" s="33">
        <v>53</v>
      </c>
      <c r="P75" s="105">
        <v>7.1999999999999998E-3</v>
      </c>
      <c r="Q75" s="113">
        <v>0.42</v>
      </c>
      <c r="R75" s="105">
        <v>0.1226</v>
      </c>
      <c r="S75" s="109">
        <v>41.87</v>
      </c>
      <c r="T75" s="109">
        <v>7.35</v>
      </c>
      <c r="U75" s="109">
        <v>910.85</v>
      </c>
      <c r="V75" s="43">
        <v>1.1161000000000001</v>
      </c>
      <c r="W75" s="44">
        <v>1.5599999999999999E-2</v>
      </c>
    </row>
    <row r="76" spans="1:23" x14ac:dyDescent="0.25">
      <c r="A76" s="80">
        <v>1</v>
      </c>
      <c r="B76" s="81" t="s">
        <v>15</v>
      </c>
      <c r="C76" s="82" t="s">
        <v>114</v>
      </c>
      <c r="D76" s="51">
        <v>0</v>
      </c>
      <c r="E76" s="92">
        <v>57.34</v>
      </c>
      <c r="F76" s="92">
        <v>26.94</v>
      </c>
      <c r="G76" s="92">
        <v>63.11</v>
      </c>
      <c r="H76" s="93">
        <v>24.5</v>
      </c>
      <c r="I76" s="93">
        <f t="shared" si="2"/>
        <v>23.55</v>
      </c>
      <c r="J76" s="92">
        <f t="shared" si="3"/>
        <v>21.42</v>
      </c>
      <c r="K76" s="58">
        <v>192</v>
      </c>
      <c r="L76" s="58">
        <v>770</v>
      </c>
      <c r="M76" s="58">
        <v>38</v>
      </c>
      <c r="N76" s="101">
        <v>0.95</v>
      </c>
      <c r="O76" s="33">
        <v>53</v>
      </c>
      <c r="P76" s="105">
        <v>6.4000000000000003E-3</v>
      </c>
      <c r="Q76" s="113">
        <v>0.42</v>
      </c>
      <c r="R76" s="105">
        <v>0.1313</v>
      </c>
      <c r="S76" s="109">
        <v>41.87</v>
      </c>
      <c r="T76" s="109">
        <v>7.35</v>
      </c>
      <c r="U76" s="109">
        <v>910.85</v>
      </c>
      <c r="V76" s="43">
        <v>1.1161000000000001</v>
      </c>
      <c r="W76" s="44">
        <v>1.5599999999999999E-2</v>
      </c>
    </row>
    <row r="77" spans="1:23" x14ac:dyDescent="0.25">
      <c r="A77" s="80">
        <v>1</v>
      </c>
      <c r="B77" s="81" t="s">
        <v>15</v>
      </c>
      <c r="C77" s="82" t="s">
        <v>115</v>
      </c>
      <c r="D77" s="51">
        <v>0</v>
      </c>
      <c r="E77" s="92">
        <v>57.34</v>
      </c>
      <c r="F77" s="92">
        <v>26.94</v>
      </c>
      <c r="G77" s="92">
        <v>63.02</v>
      </c>
      <c r="H77" s="93">
        <v>24.5</v>
      </c>
      <c r="I77" s="93">
        <f t="shared" si="2"/>
        <v>23.18</v>
      </c>
      <c r="J77" s="92">
        <f t="shared" si="3"/>
        <v>21.08</v>
      </c>
      <c r="K77" s="58">
        <v>192</v>
      </c>
      <c r="L77" s="58">
        <v>770</v>
      </c>
      <c r="M77" s="58">
        <v>38</v>
      </c>
      <c r="N77" s="101">
        <v>0.95</v>
      </c>
      <c r="O77" s="33">
        <v>53</v>
      </c>
      <c r="P77" s="105">
        <v>7.4000000000000003E-3</v>
      </c>
      <c r="Q77" s="113">
        <v>0.4</v>
      </c>
      <c r="R77" s="105">
        <v>0.1241</v>
      </c>
      <c r="S77" s="109">
        <v>41.87</v>
      </c>
      <c r="T77" s="109">
        <v>7.35</v>
      </c>
      <c r="U77" s="109">
        <v>910.85</v>
      </c>
      <c r="V77" s="43">
        <v>1.1161000000000001</v>
      </c>
      <c r="W77" s="44">
        <v>1.5599999999999999E-2</v>
      </c>
    </row>
    <row r="78" spans="1:23" x14ac:dyDescent="0.25">
      <c r="A78" s="80">
        <v>1</v>
      </c>
      <c r="B78" s="81" t="s">
        <v>15</v>
      </c>
      <c r="C78" s="82" t="s">
        <v>116</v>
      </c>
      <c r="D78" s="51">
        <v>0</v>
      </c>
      <c r="E78" s="92">
        <v>57.34</v>
      </c>
      <c r="F78" s="92">
        <v>26.94</v>
      </c>
      <c r="G78" s="92">
        <v>62.92</v>
      </c>
      <c r="H78" s="93">
        <v>24.5</v>
      </c>
      <c r="I78" s="93">
        <f t="shared" si="2"/>
        <v>22.78</v>
      </c>
      <c r="J78" s="92">
        <f t="shared" si="3"/>
        <v>20.71</v>
      </c>
      <c r="K78" s="58">
        <v>192</v>
      </c>
      <c r="L78" s="58">
        <v>770</v>
      </c>
      <c r="M78" s="58">
        <v>38</v>
      </c>
      <c r="N78" s="101">
        <v>0.95</v>
      </c>
      <c r="O78" s="33">
        <v>53</v>
      </c>
      <c r="P78" s="105">
        <v>2.3999999999999998E-3</v>
      </c>
      <c r="Q78" s="113">
        <v>0.63</v>
      </c>
      <c r="R78" s="105">
        <v>3.6900000000000002E-2</v>
      </c>
      <c r="S78" s="109">
        <v>41.87</v>
      </c>
      <c r="T78" s="109">
        <v>7.35</v>
      </c>
      <c r="U78" s="109">
        <v>910.85</v>
      </c>
      <c r="V78" s="43">
        <v>1.1161000000000001</v>
      </c>
      <c r="W78" s="44">
        <v>1.5599999999999999E-2</v>
      </c>
    </row>
    <row r="79" spans="1:23" x14ac:dyDescent="0.25">
      <c r="A79" s="80">
        <v>1</v>
      </c>
      <c r="B79" s="81" t="s">
        <v>15</v>
      </c>
      <c r="C79" s="82" t="s">
        <v>117</v>
      </c>
      <c r="D79" s="51">
        <v>0</v>
      </c>
      <c r="E79" s="92">
        <v>57.34</v>
      </c>
      <c r="F79" s="92">
        <v>26.94</v>
      </c>
      <c r="G79" s="92">
        <v>62.82</v>
      </c>
      <c r="H79" s="93">
        <v>24.5</v>
      </c>
      <c r="I79" s="93">
        <f t="shared" si="2"/>
        <v>22.37</v>
      </c>
      <c r="J79" s="92">
        <f t="shared" si="3"/>
        <v>20.34</v>
      </c>
      <c r="K79" s="58">
        <v>192</v>
      </c>
      <c r="L79" s="58">
        <v>770</v>
      </c>
      <c r="M79" s="58">
        <v>38</v>
      </c>
      <c r="N79" s="101">
        <v>0.95</v>
      </c>
      <c r="O79" s="33">
        <v>53</v>
      </c>
      <c r="P79" s="105">
        <v>7.1000000000000004E-3</v>
      </c>
      <c r="Q79" s="113">
        <v>0.39</v>
      </c>
      <c r="R79" s="105">
        <v>0.1211</v>
      </c>
      <c r="S79" s="109">
        <v>41.87</v>
      </c>
      <c r="T79" s="109">
        <v>7.35</v>
      </c>
      <c r="U79" s="109">
        <v>910.85</v>
      </c>
      <c r="V79" s="43">
        <v>1.1161000000000001</v>
      </c>
      <c r="W79" s="44">
        <v>1.5599999999999999E-2</v>
      </c>
    </row>
    <row r="80" spans="1:23" x14ac:dyDescent="0.25">
      <c r="A80" s="80">
        <v>1</v>
      </c>
      <c r="B80" s="81" t="s">
        <v>15</v>
      </c>
      <c r="C80" s="82" t="s">
        <v>118</v>
      </c>
      <c r="D80" s="51">
        <v>0</v>
      </c>
      <c r="E80" s="92">
        <v>57.34</v>
      </c>
      <c r="F80" s="92">
        <v>26.94</v>
      </c>
      <c r="G80" s="92">
        <v>62.72</v>
      </c>
      <c r="H80" s="93">
        <v>24.5</v>
      </c>
      <c r="I80" s="93">
        <f t="shared" si="2"/>
        <v>21.96</v>
      </c>
      <c r="J80" s="92">
        <f t="shared" si="3"/>
        <v>19.97</v>
      </c>
      <c r="K80" s="58">
        <v>192</v>
      </c>
      <c r="L80" s="58">
        <v>770</v>
      </c>
      <c r="M80" s="58">
        <v>38</v>
      </c>
      <c r="N80" s="101">
        <v>0.95</v>
      </c>
      <c r="O80" s="33">
        <v>53</v>
      </c>
      <c r="P80" s="105">
        <v>6.4000000000000003E-3</v>
      </c>
      <c r="Q80" s="113">
        <v>0.39</v>
      </c>
      <c r="R80" s="105">
        <v>0.1198</v>
      </c>
      <c r="S80" s="109">
        <v>41.87</v>
      </c>
      <c r="T80" s="109">
        <v>7.35</v>
      </c>
      <c r="U80" s="109">
        <v>910.85</v>
      </c>
      <c r="V80" s="43">
        <v>1.1161000000000001</v>
      </c>
      <c r="W80" s="44">
        <v>1.5599999999999999E-2</v>
      </c>
    </row>
    <row r="81" spans="1:23" x14ac:dyDescent="0.25">
      <c r="A81" s="80">
        <v>1</v>
      </c>
      <c r="B81" s="81" t="s">
        <v>15</v>
      </c>
      <c r="C81" s="82" t="s">
        <v>119</v>
      </c>
      <c r="D81" s="51">
        <v>0</v>
      </c>
      <c r="E81" s="92">
        <v>57.34</v>
      </c>
      <c r="F81" s="92">
        <v>26.94</v>
      </c>
      <c r="G81" s="92">
        <v>62.62</v>
      </c>
      <c r="H81" s="93">
        <v>24.5</v>
      </c>
      <c r="I81" s="93">
        <f t="shared" si="2"/>
        <v>21.55</v>
      </c>
      <c r="J81" s="92">
        <f t="shared" si="3"/>
        <v>19.600000000000001</v>
      </c>
      <c r="K81" s="58">
        <v>192</v>
      </c>
      <c r="L81" s="58">
        <v>770</v>
      </c>
      <c r="M81" s="58">
        <v>38</v>
      </c>
      <c r="N81" s="101">
        <v>0.95</v>
      </c>
      <c r="O81" s="33">
        <v>53</v>
      </c>
      <c r="P81" s="105">
        <v>6.3E-3</v>
      </c>
      <c r="Q81" s="113">
        <v>0.39</v>
      </c>
      <c r="R81" s="105">
        <v>0.1147</v>
      </c>
      <c r="S81" s="109">
        <v>41.87</v>
      </c>
      <c r="T81" s="109">
        <v>7.35</v>
      </c>
      <c r="U81" s="109">
        <v>910.85</v>
      </c>
      <c r="V81" s="43">
        <v>1.1161000000000001</v>
      </c>
      <c r="W81" s="44">
        <v>1.5599999999999999E-2</v>
      </c>
    </row>
    <row r="82" spans="1:23" x14ac:dyDescent="0.25">
      <c r="A82" s="80">
        <v>1</v>
      </c>
      <c r="B82" s="81" t="s">
        <v>15</v>
      </c>
      <c r="C82" s="82" t="s">
        <v>120</v>
      </c>
      <c r="D82" s="51">
        <v>0</v>
      </c>
      <c r="E82" s="92">
        <v>57.34</v>
      </c>
      <c r="F82" s="92">
        <v>26.94</v>
      </c>
      <c r="G82" s="92">
        <v>62.52</v>
      </c>
      <c r="H82" s="93">
        <v>24.5</v>
      </c>
      <c r="I82" s="93">
        <f t="shared" si="2"/>
        <v>21.14</v>
      </c>
      <c r="J82" s="92">
        <f t="shared" si="3"/>
        <v>19.23</v>
      </c>
      <c r="K82" s="58">
        <v>192</v>
      </c>
      <c r="L82" s="58">
        <v>770</v>
      </c>
      <c r="M82" s="58">
        <v>38</v>
      </c>
      <c r="N82" s="101">
        <v>0.95</v>
      </c>
      <c r="O82" s="33">
        <v>53</v>
      </c>
      <c r="P82" s="105">
        <v>5.4000000000000003E-3</v>
      </c>
      <c r="Q82" s="113">
        <v>0.38</v>
      </c>
      <c r="R82" s="105">
        <v>0.1263</v>
      </c>
      <c r="S82" s="109">
        <v>41.87</v>
      </c>
      <c r="T82" s="109">
        <v>7.35</v>
      </c>
      <c r="U82" s="109">
        <v>910.85</v>
      </c>
      <c r="V82" s="43">
        <v>1.1161000000000001</v>
      </c>
      <c r="W82" s="44">
        <v>1.5599999999999999E-2</v>
      </c>
    </row>
    <row r="83" spans="1:23" x14ac:dyDescent="0.25">
      <c r="A83" s="80">
        <v>1</v>
      </c>
      <c r="B83" s="81" t="s">
        <v>15</v>
      </c>
      <c r="C83" s="82" t="s">
        <v>121</v>
      </c>
      <c r="D83" s="51">
        <v>0</v>
      </c>
      <c r="E83" s="92">
        <v>57.34</v>
      </c>
      <c r="F83" s="92">
        <v>26.94</v>
      </c>
      <c r="G83" s="92">
        <v>62.43</v>
      </c>
      <c r="H83" s="93">
        <v>24.5</v>
      </c>
      <c r="I83" s="93">
        <f t="shared" si="2"/>
        <v>20.78</v>
      </c>
      <c r="J83" s="92">
        <f t="shared" si="3"/>
        <v>18.89</v>
      </c>
      <c r="K83" s="58">
        <v>192</v>
      </c>
      <c r="L83" s="58">
        <v>770</v>
      </c>
      <c r="M83" s="58">
        <v>38</v>
      </c>
      <c r="N83" s="101">
        <v>0.95</v>
      </c>
      <c r="O83" s="33">
        <v>53</v>
      </c>
      <c r="P83" s="105">
        <v>5.7000000000000002E-3</v>
      </c>
      <c r="Q83" s="113">
        <v>0.37</v>
      </c>
      <c r="R83" s="105">
        <v>0.1211</v>
      </c>
      <c r="S83" s="109">
        <v>41.87</v>
      </c>
      <c r="T83" s="109">
        <v>7.35</v>
      </c>
      <c r="U83" s="109">
        <v>910.85</v>
      </c>
      <c r="V83" s="43">
        <v>1.1161000000000001</v>
      </c>
      <c r="W83" s="44">
        <v>1.5599999999999999E-2</v>
      </c>
    </row>
    <row r="84" spans="1:23" x14ac:dyDescent="0.25">
      <c r="A84" s="80">
        <v>1</v>
      </c>
      <c r="B84" s="81" t="s">
        <v>15</v>
      </c>
      <c r="C84" s="82" t="s">
        <v>122</v>
      </c>
      <c r="D84" s="51">
        <v>0</v>
      </c>
      <c r="E84" s="92">
        <v>57.34</v>
      </c>
      <c r="F84" s="92">
        <v>26.94</v>
      </c>
      <c r="G84" s="92">
        <v>62.33</v>
      </c>
      <c r="H84" s="93">
        <v>24.5</v>
      </c>
      <c r="I84" s="93">
        <f t="shared" si="2"/>
        <v>20.37</v>
      </c>
      <c r="J84" s="92">
        <f t="shared" si="3"/>
        <v>18.52</v>
      </c>
      <c r="K84" s="58">
        <v>192</v>
      </c>
      <c r="L84" s="58">
        <v>770</v>
      </c>
      <c r="M84" s="58">
        <v>38</v>
      </c>
      <c r="N84" s="101">
        <v>0.95</v>
      </c>
      <c r="O84" s="33">
        <v>53</v>
      </c>
      <c r="P84" s="105">
        <v>2.7000000000000001E-3</v>
      </c>
      <c r="Q84" s="113">
        <v>0.49</v>
      </c>
      <c r="R84" s="105">
        <v>5.1400000000000001E-2</v>
      </c>
      <c r="S84" s="109">
        <v>41.87</v>
      </c>
      <c r="T84" s="109">
        <v>7.35</v>
      </c>
      <c r="U84" s="109">
        <v>910.85</v>
      </c>
      <c r="V84" s="43">
        <v>1.1161000000000001</v>
      </c>
      <c r="W84" s="44">
        <v>1.5599999999999999E-2</v>
      </c>
    </row>
    <row r="85" spans="1:23" x14ac:dyDescent="0.25">
      <c r="A85" s="80">
        <v>1</v>
      </c>
      <c r="B85" s="81" t="s">
        <v>15</v>
      </c>
      <c r="C85" s="82" t="s">
        <v>123</v>
      </c>
      <c r="D85" s="51">
        <v>0</v>
      </c>
      <c r="E85" s="92">
        <v>57.34</v>
      </c>
      <c r="F85" s="92">
        <v>26.94</v>
      </c>
      <c r="G85" s="92">
        <v>62.24</v>
      </c>
      <c r="H85" s="93">
        <v>24.5</v>
      </c>
      <c r="I85" s="93">
        <f t="shared" si="2"/>
        <v>20</v>
      </c>
      <c r="J85" s="92">
        <f t="shared" si="3"/>
        <v>18.190000000000001</v>
      </c>
      <c r="K85" s="58">
        <v>192</v>
      </c>
      <c r="L85" s="58">
        <v>770</v>
      </c>
      <c r="M85" s="58">
        <v>38</v>
      </c>
      <c r="N85" s="101">
        <v>0.95</v>
      </c>
      <c r="O85" s="33">
        <v>53</v>
      </c>
      <c r="P85" s="105">
        <v>5.5999999999999999E-3</v>
      </c>
      <c r="Q85" s="113">
        <v>0.35</v>
      </c>
      <c r="R85" s="105">
        <v>0.11899999999999999</v>
      </c>
      <c r="S85" s="109">
        <v>41.87</v>
      </c>
      <c r="T85" s="109">
        <v>7.35</v>
      </c>
      <c r="U85" s="109">
        <v>910.85</v>
      </c>
      <c r="V85" s="43">
        <v>1.1161000000000001</v>
      </c>
      <c r="W85" s="44">
        <v>1.5599999999999999E-2</v>
      </c>
    </row>
    <row r="86" spans="1:23" x14ac:dyDescent="0.25">
      <c r="A86" s="80">
        <v>1</v>
      </c>
      <c r="B86" s="81" t="s">
        <v>15</v>
      </c>
      <c r="C86" s="82" t="s">
        <v>124</v>
      </c>
      <c r="D86" s="51">
        <v>0</v>
      </c>
      <c r="E86" s="92">
        <v>57.34</v>
      </c>
      <c r="F86" s="92">
        <v>26.94</v>
      </c>
      <c r="G86" s="92">
        <v>62.14</v>
      </c>
      <c r="H86" s="93">
        <v>24.5</v>
      </c>
      <c r="I86" s="93">
        <f t="shared" si="2"/>
        <v>19.59</v>
      </c>
      <c r="J86" s="92">
        <f t="shared" si="3"/>
        <v>17.82</v>
      </c>
      <c r="K86" s="58">
        <v>192</v>
      </c>
      <c r="L86" s="58">
        <v>770</v>
      </c>
      <c r="M86" s="58">
        <v>38</v>
      </c>
      <c r="N86" s="101">
        <v>0.95</v>
      </c>
      <c r="O86" s="33">
        <v>53</v>
      </c>
      <c r="P86" s="105">
        <v>5.5999999999999999E-3</v>
      </c>
      <c r="Q86" s="113">
        <v>0.34</v>
      </c>
      <c r="R86" s="105">
        <v>0.1208</v>
      </c>
      <c r="S86" s="109">
        <v>41.87</v>
      </c>
      <c r="T86" s="109">
        <v>7.35</v>
      </c>
      <c r="U86" s="109">
        <v>910.85</v>
      </c>
      <c r="V86" s="43">
        <v>1.1161000000000001</v>
      </c>
      <c r="W86" s="44">
        <v>1.5599999999999999E-2</v>
      </c>
    </row>
    <row r="87" spans="1:23" x14ac:dyDescent="0.25">
      <c r="A87" s="80">
        <v>1</v>
      </c>
      <c r="B87" s="81" t="s">
        <v>15</v>
      </c>
      <c r="C87" s="82" t="s">
        <v>125</v>
      </c>
      <c r="D87" s="51">
        <v>0</v>
      </c>
      <c r="E87" s="92">
        <v>57.34</v>
      </c>
      <c r="F87" s="92">
        <v>26.94</v>
      </c>
      <c r="G87" s="92">
        <v>62.04</v>
      </c>
      <c r="H87" s="93">
        <v>24.5</v>
      </c>
      <c r="I87" s="93">
        <f t="shared" si="2"/>
        <v>19.18</v>
      </c>
      <c r="J87" s="92">
        <f t="shared" si="3"/>
        <v>17.45</v>
      </c>
      <c r="K87" s="58">
        <v>192</v>
      </c>
      <c r="L87" s="58">
        <v>770</v>
      </c>
      <c r="M87" s="58">
        <v>38</v>
      </c>
      <c r="N87" s="101">
        <v>0.95</v>
      </c>
      <c r="O87" s="33">
        <v>53</v>
      </c>
      <c r="P87" s="105">
        <v>5.7000000000000002E-3</v>
      </c>
      <c r="Q87" s="113">
        <v>0.33</v>
      </c>
      <c r="R87" s="105">
        <v>0.1183</v>
      </c>
      <c r="S87" s="109">
        <v>41.87</v>
      </c>
      <c r="T87" s="109">
        <v>7.35</v>
      </c>
      <c r="U87" s="109">
        <v>910.85</v>
      </c>
      <c r="V87" s="43">
        <v>1.1161000000000001</v>
      </c>
      <c r="W87" s="44">
        <v>1.5599999999999999E-2</v>
      </c>
    </row>
    <row r="88" spans="1:23" x14ac:dyDescent="0.25">
      <c r="A88" s="80">
        <v>1</v>
      </c>
      <c r="B88" s="81" t="s">
        <v>15</v>
      </c>
      <c r="C88" s="82" t="s">
        <v>126</v>
      </c>
      <c r="D88" s="51">
        <v>0</v>
      </c>
      <c r="E88" s="92">
        <v>57.34</v>
      </c>
      <c r="F88" s="92">
        <v>26.94</v>
      </c>
      <c r="G88" s="92">
        <v>61.94</v>
      </c>
      <c r="H88" s="93">
        <v>24.5</v>
      </c>
      <c r="I88" s="93">
        <f t="shared" si="2"/>
        <v>18.78</v>
      </c>
      <c r="J88" s="92">
        <f t="shared" si="3"/>
        <v>17.07</v>
      </c>
      <c r="K88" s="58">
        <v>192</v>
      </c>
      <c r="L88" s="58">
        <v>770</v>
      </c>
      <c r="M88" s="58">
        <v>38</v>
      </c>
      <c r="N88" s="101">
        <v>0.95</v>
      </c>
      <c r="O88" s="33">
        <v>53</v>
      </c>
      <c r="P88" s="105">
        <v>5.5999999999999999E-3</v>
      </c>
      <c r="Q88" s="113">
        <v>0.32</v>
      </c>
      <c r="R88" s="105">
        <v>0.11609999999999999</v>
      </c>
      <c r="S88" s="109">
        <v>41.87</v>
      </c>
      <c r="T88" s="109">
        <v>7.35</v>
      </c>
      <c r="U88" s="109">
        <v>910.85</v>
      </c>
      <c r="V88" s="43">
        <v>1.1161000000000001</v>
      </c>
      <c r="W88" s="44">
        <v>1.5599999999999999E-2</v>
      </c>
    </row>
    <row r="89" spans="1:23" x14ac:dyDescent="0.25">
      <c r="A89" s="80">
        <v>1</v>
      </c>
      <c r="B89" s="81" t="s">
        <v>15</v>
      </c>
      <c r="C89" s="82" t="s">
        <v>127</v>
      </c>
      <c r="D89" s="51">
        <v>0</v>
      </c>
      <c r="E89" s="92">
        <v>57.34</v>
      </c>
      <c r="F89" s="92">
        <v>26.94</v>
      </c>
      <c r="G89" s="92">
        <v>61.85</v>
      </c>
      <c r="H89" s="93">
        <v>24.5</v>
      </c>
      <c r="I89" s="93">
        <f t="shared" si="2"/>
        <v>18.41</v>
      </c>
      <c r="J89" s="92">
        <f t="shared" si="3"/>
        <v>16.739999999999998</v>
      </c>
      <c r="K89" s="58">
        <v>192</v>
      </c>
      <c r="L89" s="58">
        <v>770</v>
      </c>
      <c r="M89" s="58">
        <v>38</v>
      </c>
      <c r="N89" s="101">
        <v>0.95</v>
      </c>
      <c r="O89" s="33">
        <v>53</v>
      </c>
      <c r="P89" s="105">
        <v>5.4000000000000003E-3</v>
      </c>
      <c r="Q89" s="113">
        <v>0.31</v>
      </c>
      <c r="R89" s="105">
        <v>0.1074</v>
      </c>
      <c r="S89" s="109">
        <v>41.87</v>
      </c>
      <c r="T89" s="109">
        <v>7.35</v>
      </c>
      <c r="U89" s="109">
        <v>910.85</v>
      </c>
      <c r="V89" s="43">
        <v>1.1161000000000001</v>
      </c>
      <c r="W89" s="44">
        <v>1.5599999999999999E-2</v>
      </c>
    </row>
    <row r="90" spans="1:23" x14ac:dyDescent="0.25">
      <c r="A90" s="80">
        <v>1</v>
      </c>
      <c r="B90" s="81" t="s">
        <v>15</v>
      </c>
      <c r="C90" s="82" t="s">
        <v>128</v>
      </c>
      <c r="D90" s="51">
        <v>0</v>
      </c>
      <c r="E90" s="92">
        <v>57.34</v>
      </c>
      <c r="F90" s="92">
        <v>26.94</v>
      </c>
      <c r="G90" s="92">
        <v>61.75</v>
      </c>
      <c r="H90" s="93">
        <v>24.5</v>
      </c>
      <c r="I90" s="93">
        <f t="shared" si="2"/>
        <v>18</v>
      </c>
      <c r="J90" s="92">
        <f t="shared" si="3"/>
        <v>16.37</v>
      </c>
      <c r="K90" s="58">
        <v>192</v>
      </c>
      <c r="L90" s="58">
        <v>770</v>
      </c>
      <c r="M90" s="58">
        <v>38</v>
      </c>
      <c r="N90" s="101">
        <v>0.95</v>
      </c>
      <c r="O90" s="33">
        <v>53</v>
      </c>
      <c r="P90" s="105">
        <v>5.4999999999999997E-3</v>
      </c>
      <c r="Q90" s="113">
        <v>0.3</v>
      </c>
      <c r="R90" s="105">
        <v>0.10730000000000001</v>
      </c>
      <c r="S90" s="109">
        <v>41.87</v>
      </c>
      <c r="T90" s="109">
        <v>7.35</v>
      </c>
      <c r="U90" s="109">
        <v>910.85</v>
      </c>
      <c r="V90" s="43">
        <v>1.1161000000000001</v>
      </c>
      <c r="W90" s="44">
        <v>1.5599999999999999E-2</v>
      </c>
    </row>
    <row r="91" spans="1:23" x14ac:dyDescent="0.25">
      <c r="A91" s="80">
        <v>1</v>
      </c>
      <c r="B91" s="81" t="s">
        <v>15</v>
      </c>
      <c r="C91" s="82" t="s">
        <v>129</v>
      </c>
      <c r="D91" s="51">
        <v>0</v>
      </c>
      <c r="E91" s="92">
        <v>57.34</v>
      </c>
      <c r="F91" s="92">
        <v>26.94</v>
      </c>
      <c r="G91" s="92">
        <v>61.66</v>
      </c>
      <c r="H91" s="93">
        <v>24.5</v>
      </c>
      <c r="I91" s="93">
        <f t="shared" si="2"/>
        <v>17.63</v>
      </c>
      <c r="J91" s="92">
        <f t="shared" si="3"/>
        <v>16.04</v>
      </c>
      <c r="K91" s="58">
        <v>192</v>
      </c>
      <c r="L91" s="58">
        <v>770</v>
      </c>
      <c r="M91" s="58">
        <v>38</v>
      </c>
      <c r="N91" s="101">
        <v>0.95</v>
      </c>
      <c r="O91" s="33">
        <v>53</v>
      </c>
      <c r="P91" s="105">
        <v>5.5999999999999999E-3</v>
      </c>
      <c r="Q91" s="113">
        <v>0.28000000000000003</v>
      </c>
      <c r="R91" s="105">
        <v>9.98E-2</v>
      </c>
      <c r="S91" s="109">
        <v>41.87</v>
      </c>
      <c r="T91" s="109">
        <v>7.35</v>
      </c>
      <c r="U91" s="109">
        <v>910.85</v>
      </c>
      <c r="V91" s="43">
        <v>1.1161000000000001</v>
      </c>
      <c r="W91" s="44">
        <v>1.5599999999999999E-2</v>
      </c>
    </row>
    <row r="92" spans="1:23" x14ac:dyDescent="0.25">
      <c r="A92" s="80">
        <v>1</v>
      </c>
      <c r="B92" s="81" t="s">
        <v>15</v>
      </c>
      <c r="C92" s="82" t="s">
        <v>130</v>
      </c>
      <c r="D92" s="51">
        <v>0</v>
      </c>
      <c r="E92" s="92">
        <v>57.34</v>
      </c>
      <c r="F92" s="92">
        <v>26.94</v>
      </c>
      <c r="G92" s="92">
        <v>61.57</v>
      </c>
      <c r="H92" s="93">
        <v>24.5</v>
      </c>
      <c r="I92" s="93">
        <f t="shared" si="2"/>
        <v>17.27</v>
      </c>
      <c r="J92" s="92">
        <f t="shared" si="3"/>
        <v>15.7</v>
      </c>
      <c r="K92" s="58">
        <v>192</v>
      </c>
      <c r="L92" s="58">
        <v>770</v>
      </c>
      <c r="M92" s="58">
        <v>38</v>
      </c>
      <c r="N92" s="101">
        <v>0.95</v>
      </c>
      <c r="O92" s="33">
        <v>53</v>
      </c>
      <c r="P92" s="105">
        <v>5.3E-3</v>
      </c>
      <c r="Q92" s="113">
        <v>0.27</v>
      </c>
      <c r="R92" s="105">
        <v>9.8900000000000002E-2</v>
      </c>
      <c r="S92" s="109">
        <v>41.87</v>
      </c>
      <c r="T92" s="109">
        <v>7.35</v>
      </c>
      <c r="U92" s="109">
        <v>910.85</v>
      </c>
      <c r="V92" s="43">
        <v>1.1161000000000001</v>
      </c>
      <c r="W92" s="44">
        <v>1.5599999999999999E-2</v>
      </c>
    </row>
    <row r="93" spans="1:23" x14ac:dyDescent="0.25">
      <c r="A93" s="80">
        <v>1</v>
      </c>
      <c r="B93" s="81" t="s">
        <v>15</v>
      </c>
      <c r="C93" s="82" t="s">
        <v>131</v>
      </c>
      <c r="D93" s="51">
        <v>0</v>
      </c>
      <c r="E93" s="92">
        <v>57.34</v>
      </c>
      <c r="F93" s="92">
        <v>26.94</v>
      </c>
      <c r="G93" s="92">
        <v>61.48</v>
      </c>
      <c r="H93" s="93">
        <v>24.5</v>
      </c>
      <c r="I93" s="93">
        <f t="shared" si="2"/>
        <v>16.899999999999999</v>
      </c>
      <c r="J93" s="92">
        <f t="shared" si="3"/>
        <v>15.37</v>
      </c>
      <c r="K93" s="58">
        <v>192</v>
      </c>
      <c r="L93" s="58">
        <v>770</v>
      </c>
      <c r="M93" s="58">
        <v>38</v>
      </c>
      <c r="N93" s="101">
        <v>0.95</v>
      </c>
      <c r="O93" s="33">
        <v>53</v>
      </c>
      <c r="P93" s="105">
        <v>5.4000000000000003E-3</v>
      </c>
      <c r="Q93" s="113">
        <v>0.25</v>
      </c>
      <c r="R93" s="105">
        <v>0.1012</v>
      </c>
      <c r="S93" s="109">
        <v>41.87</v>
      </c>
      <c r="T93" s="109">
        <v>7.35</v>
      </c>
      <c r="U93" s="109">
        <v>910.85</v>
      </c>
      <c r="V93" s="43">
        <v>1.1161000000000001</v>
      </c>
      <c r="W93" s="44">
        <v>1.5599999999999999E-2</v>
      </c>
    </row>
    <row r="94" spans="1:23" x14ac:dyDescent="0.25">
      <c r="A94" s="80">
        <v>1</v>
      </c>
      <c r="B94" s="81" t="s">
        <v>15</v>
      </c>
      <c r="C94" s="82" t="s">
        <v>132</v>
      </c>
      <c r="D94" s="51">
        <v>0</v>
      </c>
      <c r="E94" s="92">
        <v>57.34</v>
      </c>
      <c r="F94" s="92">
        <v>26.94</v>
      </c>
      <c r="G94" s="92">
        <v>61.39</v>
      </c>
      <c r="H94" s="93">
        <v>24.5</v>
      </c>
      <c r="I94" s="93">
        <f t="shared" si="2"/>
        <v>16.53</v>
      </c>
      <c r="J94" s="92">
        <f t="shared" si="3"/>
        <v>15.03</v>
      </c>
      <c r="K94" s="58">
        <v>192</v>
      </c>
      <c r="L94" s="58">
        <v>770</v>
      </c>
      <c r="M94" s="58">
        <v>38</v>
      </c>
      <c r="N94" s="101">
        <v>0.95</v>
      </c>
      <c r="O94" s="33">
        <v>53</v>
      </c>
      <c r="P94" s="105">
        <v>5.3E-3</v>
      </c>
      <c r="Q94" s="113">
        <v>0.24</v>
      </c>
      <c r="R94" s="105">
        <v>8.2699999999999996E-2</v>
      </c>
      <c r="S94" s="109">
        <v>41.87</v>
      </c>
      <c r="T94" s="109">
        <v>7.35</v>
      </c>
      <c r="U94" s="109">
        <v>910.85</v>
      </c>
      <c r="V94" s="43">
        <v>1.1161000000000001</v>
      </c>
      <c r="W94" s="44">
        <v>1.5599999999999999E-2</v>
      </c>
    </row>
    <row r="95" spans="1:23" x14ac:dyDescent="0.25">
      <c r="A95" s="80">
        <v>1</v>
      </c>
      <c r="B95" s="81" t="s">
        <v>15</v>
      </c>
      <c r="C95" s="82" t="s">
        <v>133</v>
      </c>
      <c r="D95" s="51">
        <v>0</v>
      </c>
      <c r="E95" s="92">
        <v>57.34</v>
      </c>
      <c r="F95" s="92">
        <v>26.94</v>
      </c>
      <c r="G95" s="92">
        <v>61.29</v>
      </c>
      <c r="H95" s="93">
        <v>24.5</v>
      </c>
      <c r="I95" s="93">
        <f t="shared" si="2"/>
        <v>16.12</v>
      </c>
      <c r="J95" s="92">
        <f t="shared" si="3"/>
        <v>14.66</v>
      </c>
      <c r="K95" s="58">
        <v>192</v>
      </c>
      <c r="L95" s="58">
        <v>770</v>
      </c>
      <c r="M95" s="58">
        <v>38</v>
      </c>
      <c r="N95" s="101">
        <v>0.95</v>
      </c>
      <c r="O95" s="33">
        <v>53</v>
      </c>
      <c r="P95" s="105">
        <v>5.1000000000000004E-3</v>
      </c>
      <c r="Q95" s="113">
        <v>0.22</v>
      </c>
      <c r="R95" s="105">
        <v>8.5300000000000001E-2</v>
      </c>
      <c r="S95" s="109">
        <v>41.87</v>
      </c>
      <c r="T95" s="109">
        <v>7.35</v>
      </c>
      <c r="U95" s="109">
        <v>910.85</v>
      </c>
      <c r="V95" s="43">
        <v>1.1161000000000001</v>
      </c>
      <c r="W95" s="44">
        <v>1.5599999999999999E-2</v>
      </c>
    </row>
    <row r="96" spans="1:23" x14ac:dyDescent="0.25">
      <c r="A96" s="80">
        <v>1</v>
      </c>
      <c r="B96" s="81" t="s">
        <v>15</v>
      </c>
      <c r="C96" s="82" t="s">
        <v>134</v>
      </c>
      <c r="D96" s="51">
        <v>0</v>
      </c>
      <c r="E96" s="92">
        <v>57.34</v>
      </c>
      <c r="F96" s="92">
        <v>26.94</v>
      </c>
      <c r="G96" s="92">
        <v>61.2</v>
      </c>
      <c r="H96" s="93">
        <v>24.5</v>
      </c>
      <c r="I96" s="93">
        <f t="shared" si="2"/>
        <v>15.76</v>
      </c>
      <c r="J96" s="92">
        <f t="shared" si="3"/>
        <v>14.33</v>
      </c>
      <c r="K96" s="58">
        <v>192</v>
      </c>
      <c r="L96" s="58">
        <v>770</v>
      </c>
      <c r="M96" s="58">
        <v>38</v>
      </c>
      <c r="N96" s="101">
        <v>0.95</v>
      </c>
      <c r="O96" s="33">
        <v>53</v>
      </c>
      <c r="P96" s="105">
        <v>5.4000000000000003E-3</v>
      </c>
      <c r="Q96" s="113">
        <v>0.2</v>
      </c>
      <c r="R96" s="105">
        <v>7.5499999999999998E-2</v>
      </c>
      <c r="S96" s="109">
        <v>41.87</v>
      </c>
      <c r="T96" s="109">
        <v>7.35</v>
      </c>
      <c r="U96" s="109">
        <v>910.85</v>
      </c>
      <c r="V96" s="43">
        <v>1.1161000000000001</v>
      </c>
      <c r="W96" s="44">
        <v>1.5599999999999999E-2</v>
      </c>
    </row>
    <row r="97" spans="1:23" x14ac:dyDescent="0.25">
      <c r="A97" s="80">
        <v>1</v>
      </c>
      <c r="B97" s="81" t="s">
        <v>15</v>
      </c>
      <c r="C97" s="82" t="s">
        <v>135</v>
      </c>
      <c r="D97" s="51">
        <v>0</v>
      </c>
      <c r="E97" s="92">
        <v>57.34</v>
      </c>
      <c r="F97" s="92">
        <v>26.94</v>
      </c>
      <c r="G97" s="92">
        <v>61.11</v>
      </c>
      <c r="H97" s="93">
        <v>24.5</v>
      </c>
      <c r="I97" s="93">
        <f t="shared" si="2"/>
        <v>15.39</v>
      </c>
      <c r="J97" s="92">
        <f t="shared" si="3"/>
        <v>13.99</v>
      </c>
      <c r="K97" s="58">
        <v>192</v>
      </c>
      <c r="L97" s="58">
        <v>770</v>
      </c>
      <c r="M97" s="58">
        <v>38</v>
      </c>
      <c r="N97" s="101">
        <v>0.95</v>
      </c>
      <c r="O97" s="33">
        <v>53</v>
      </c>
      <c r="P97" s="105">
        <v>5.1999999999999998E-3</v>
      </c>
      <c r="Q97" s="113">
        <v>0.19</v>
      </c>
      <c r="R97" s="105">
        <v>6.2899999999999998E-2</v>
      </c>
      <c r="S97" s="109">
        <v>41.87</v>
      </c>
      <c r="T97" s="109">
        <v>7.35</v>
      </c>
      <c r="U97" s="109">
        <v>910.85</v>
      </c>
      <c r="V97" s="43">
        <v>1.1161000000000001</v>
      </c>
      <c r="W97" s="44">
        <v>1.5599999999999999E-2</v>
      </c>
    </row>
    <row r="98" spans="1:23" x14ac:dyDescent="0.25">
      <c r="A98" s="80">
        <v>1</v>
      </c>
      <c r="B98" s="81" t="s">
        <v>15</v>
      </c>
      <c r="C98" s="82" t="s">
        <v>136</v>
      </c>
      <c r="D98" s="51">
        <v>0</v>
      </c>
      <c r="E98" s="92">
        <v>57.34</v>
      </c>
      <c r="F98" s="92">
        <v>26.94</v>
      </c>
      <c r="G98" s="92">
        <v>61.03</v>
      </c>
      <c r="H98" s="93">
        <v>24.5</v>
      </c>
      <c r="I98" s="93">
        <f t="shared" si="2"/>
        <v>15.06</v>
      </c>
      <c r="J98" s="92">
        <f t="shared" si="3"/>
        <v>13.7</v>
      </c>
      <c r="K98" s="58">
        <v>192</v>
      </c>
      <c r="L98" s="58">
        <v>770</v>
      </c>
      <c r="M98" s="58">
        <v>38</v>
      </c>
      <c r="N98" s="101">
        <v>0.95</v>
      </c>
      <c r="O98" s="33">
        <v>53</v>
      </c>
      <c r="P98" s="105">
        <v>5.3E-3</v>
      </c>
      <c r="Q98" s="113">
        <v>0.17</v>
      </c>
      <c r="R98" s="105">
        <v>4.9599999999999998E-2</v>
      </c>
      <c r="S98" s="109">
        <v>41.87</v>
      </c>
      <c r="T98" s="109">
        <v>7.35</v>
      </c>
      <c r="U98" s="109">
        <v>910.85</v>
      </c>
      <c r="V98" s="43">
        <v>1.1161000000000001</v>
      </c>
      <c r="W98" s="44">
        <v>1.5599999999999999E-2</v>
      </c>
    </row>
    <row r="99" spans="1:23" x14ac:dyDescent="0.25">
      <c r="A99" s="80">
        <v>1</v>
      </c>
      <c r="B99" s="81" t="s">
        <v>15</v>
      </c>
      <c r="C99" s="82" t="s">
        <v>137</v>
      </c>
      <c r="D99" s="51">
        <v>0</v>
      </c>
      <c r="E99" s="92">
        <v>57.34</v>
      </c>
      <c r="F99" s="92">
        <v>26.94</v>
      </c>
      <c r="G99" s="92">
        <v>60.94</v>
      </c>
      <c r="H99" s="93">
        <v>24.5</v>
      </c>
      <c r="I99" s="93">
        <f t="shared" si="2"/>
        <v>14.69</v>
      </c>
      <c r="J99" s="92">
        <f t="shared" si="3"/>
        <v>13.36</v>
      </c>
      <c r="K99" s="58">
        <v>192</v>
      </c>
      <c r="L99" s="58">
        <v>770</v>
      </c>
      <c r="M99" s="58">
        <v>38</v>
      </c>
      <c r="N99" s="101">
        <v>0.95</v>
      </c>
      <c r="O99" s="33">
        <v>53</v>
      </c>
      <c r="P99" s="105">
        <v>5.1999999999999998E-3</v>
      </c>
      <c r="Q99" s="113">
        <v>0.15</v>
      </c>
      <c r="R99" s="105">
        <v>3.5799999999999998E-2</v>
      </c>
      <c r="S99" s="109">
        <v>41.87</v>
      </c>
      <c r="T99" s="109">
        <v>7.35</v>
      </c>
      <c r="U99" s="109">
        <v>910.85</v>
      </c>
      <c r="V99" s="43">
        <v>1.1161000000000001</v>
      </c>
      <c r="W99" s="44">
        <v>1.5599999999999999E-2</v>
      </c>
    </row>
    <row r="100" spans="1:23" x14ac:dyDescent="0.25">
      <c r="A100" s="80">
        <v>1</v>
      </c>
      <c r="B100" s="81" t="s">
        <v>15</v>
      </c>
      <c r="C100" s="82" t="s">
        <v>138</v>
      </c>
      <c r="D100" s="51">
        <v>0</v>
      </c>
      <c r="E100" s="92">
        <v>57.34</v>
      </c>
      <c r="F100" s="92">
        <v>26.94</v>
      </c>
      <c r="G100" s="92">
        <v>60.86</v>
      </c>
      <c r="H100" s="93">
        <v>24.5</v>
      </c>
      <c r="I100" s="93">
        <f t="shared" si="2"/>
        <v>14.37</v>
      </c>
      <c r="J100" s="92">
        <f t="shared" si="3"/>
        <v>13.07</v>
      </c>
      <c r="K100" s="58">
        <v>192</v>
      </c>
      <c r="L100" s="58">
        <v>770</v>
      </c>
      <c r="M100" s="58">
        <v>38</v>
      </c>
      <c r="N100" s="101">
        <v>0.95</v>
      </c>
      <c r="O100" s="33">
        <v>53</v>
      </c>
      <c r="P100" s="105">
        <v>4.8999999999999998E-3</v>
      </c>
      <c r="Q100" s="113">
        <v>0.13</v>
      </c>
      <c r="R100" s="105">
        <v>1.7600000000000001E-2</v>
      </c>
      <c r="S100" s="109">
        <v>41.87</v>
      </c>
      <c r="T100" s="109">
        <v>7.35</v>
      </c>
      <c r="U100" s="109">
        <v>910.85</v>
      </c>
      <c r="V100" s="43">
        <v>1.1161000000000001</v>
      </c>
      <c r="W100" s="44">
        <v>1.5599999999999999E-2</v>
      </c>
    </row>
    <row r="101" spans="1:23" x14ac:dyDescent="0.25">
      <c r="A101" s="80">
        <v>1</v>
      </c>
      <c r="B101" s="81" t="s">
        <v>15</v>
      </c>
      <c r="C101" s="82" t="s">
        <v>139</v>
      </c>
      <c r="D101" s="51">
        <v>0</v>
      </c>
      <c r="E101" s="92">
        <v>57.34</v>
      </c>
      <c r="F101" s="92">
        <v>26.94</v>
      </c>
      <c r="G101" s="92">
        <v>60.78</v>
      </c>
      <c r="H101" s="93">
        <v>24.5</v>
      </c>
      <c r="I101" s="93">
        <f t="shared" si="2"/>
        <v>14.04</v>
      </c>
      <c r="J101" s="92">
        <f t="shared" si="3"/>
        <v>12.77</v>
      </c>
      <c r="K101" s="58">
        <v>192</v>
      </c>
      <c r="L101" s="58">
        <v>770</v>
      </c>
      <c r="M101" s="58">
        <v>38</v>
      </c>
      <c r="N101" s="101">
        <v>0.95</v>
      </c>
      <c r="O101" s="33">
        <v>53</v>
      </c>
      <c r="P101" s="105">
        <v>5.7000000000000002E-3</v>
      </c>
      <c r="Q101" s="113">
        <v>0.1</v>
      </c>
      <c r="R101" s="105">
        <v>0</v>
      </c>
      <c r="S101" s="109">
        <v>41.87</v>
      </c>
      <c r="T101" s="109">
        <v>7.35</v>
      </c>
      <c r="U101" s="109">
        <v>910.85</v>
      </c>
      <c r="V101" s="43">
        <v>1.1161000000000001</v>
      </c>
      <c r="W101" s="44">
        <v>1.5599999999999999E-2</v>
      </c>
    </row>
    <row r="102" spans="1:23" x14ac:dyDescent="0.25">
      <c r="A102" s="80">
        <v>1</v>
      </c>
      <c r="B102" s="81" t="s">
        <v>15</v>
      </c>
      <c r="C102" s="82" t="s">
        <v>140</v>
      </c>
      <c r="D102" s="51">
        <v>0</v>
      </c>
      <c r="E102" s="92">
        <v>57.34</v>
      </c>
      <c r="F102" s="92">
        <v>26.94</v>
      </c>
      <c r="G102" s="92">
        <v>60.7</v>
      </c>
      <c r="H102" s="93">
        <v>24.5</v>
      </c>
      <c r="I102" s="93">
        <f t="shared" si="2"/>
        <v>13.71</v>
      </c>
      <c r="J102" s="92">
        <f t="shared" si="3"/>
        <v>12.47</v>
      </c>
      <c r="K102" s="58">
        <v>192</v>
      </c>
      <c r="L102" s="58">
        <v>770</v>
      </c>
      <c r="M102" s="58">
        <v>38</v>
      </c>
      <c r="N102" s="101">
        <v>0.95</v>
      </c>
      <c r="O102" s="33">
        <v>53</v>
      </c>
      <c r="P102" s="105">
        <v>6.4999999999999997E-3</v>
      </c>
      <c r="Q102" s="113">
        <v>0.08</v>
      </c>
      <c r="R102" s="105">
        <v>0</v>
      </c>
      <c r="S102" s="109">
        <v>41.87</v>
      </c>
      <c r="T102" s="109">
        <v>7.35</v>
      </c>
      <c r="U102" s="109">
        <v>910.85</v>
      </c>
      <c r="V102" s="43">
        <v>1.1161000000000001</v>
      </c>
      <c r="W102" s="44">
        <v>1.5599999999999999E-2</v>
      </c>
    </row>
    <row r="103" spans="1:23" x14ac:dyDescent="0.25">
      <c r="A103" s="80">
        <v>1</v>
      </c>
      <c r="B103" s="81" t="s">
        <v>15</v>
      </c>
      <c r="C103" s="82" t="s">
        <v>141</v>
      </c>
      <c r="D103" s="51">
        <v>0</v>
      </c>
      <c r="E103" s="92">
        <v>57.34</v>
      </c>
      <c r="F103" s="92">
        <v>26.94</v>
      </c>
      <c r="G103" s="92">
        <v>60.62</v>
      </c>
      <c r="H103" s="93">
        <v>24.5</v>
      </c>
      <c r="I103" s="93">
        <f t="shared" si="2"/>
        <v>13.39</v>
      </c>
      <c r="J103" s="92">
        <f t="shared" si="3"/>
        <v>12.18</v>
      </c>
      <c r="K103" s="58">
        <v>192</v>
      </c>
      <c r="L103" s="58">
        <v>770</v>
      </c>
      <c r="M103" s="58">
        <v>38</v>
      </c>
      <c r="N103" s="101">
        <v>0.95</v>
      </c>
      <c r="O103" s="33">
        <v>53</v>
      </c>
      <c r="P103" s="105">
        <v>7.9000000000000008E-3</v>
      </c>
      <c r="Q103" s="113">
        <v>0.06</v>
      </c>
      <c r="R103" s="105">
        <v>0</v>
      </c>
      <c r="S103" s="109">
        <v>41.87</v>
      </c>
      <c r="T103" s="109">
        <v>7.35</v>
      </c>
      <c r="U103" s="109">
        <v>910.85</v>
      </c>
      <c r="V103" s="43">
        <v>1.1161000000000001</v>
      </c>
      <c r="W103" s="44">
        <v>1.5599999999999999E-2</v>
      </c>
    </row>
    <row r="104" spans="1:23" x14ac:dyDescent="0.25">
      <c r="A104" s="80">
        <v>1</v>
      </c>
      <c r="B104" s="81" t="s">
        <v>15</v>
      </c>
      <c r="C104" s="82" t="s">
        <v>142</v>
      </c>
      <c r="D104" s="51">
        <v>0</v>
      </c>
      <c r="E104" s="92">
        <v>57.34</v>
      </c>
      <c r="F104" s="92">
        <v>26.94</v>
      </c>
      <c r="G104" s="92">
        <v>60.55</v>
      </c>
      <c r="H104" s="93">
        <v>24.5</v>
      </c>
      <c r="I104" s="93">
        <f t="shared" si="2"/>
        <v>13.1</v>
      </c>
      <c r="J104" s="92">
        <f t="shared" si="3"/>
        <v>11.92</v>
      </c>
      <c r="K104" s="58">
        <v>192</v>
      </c>
      <c r="L104" s="58">
        <v>770</v>
      </c>
      <c r="M104" s="58">
        <v>38</v>
      </c>
      <c r="N104" s="101">
        <v>0.95</v>
      </c>
      <c r="O104" s="33">
        <v>53</v>
      </c>
      <c r="P104" s="105">
        <v>8.6E-3</v>
      </c>
      <c r="Q104" s="113">
        <v>0.04</v>
      </c>
      <c r="R104" s="105">
        <v>0</v>
      </c>
      <c r="S104" s="109">
        <v>41.87</v>
      </c>
      <c r="T104" s="109">
        <v>7.35</v>
      </c>
      <c r="U104" s="109">
        <v>910.85</v>
      </c>
      <c r="V104" s="43">
        <v>1.1161000000000001</v>
      </c>
      <c r="W104" s="44">
        <v>1.5599999999999999E-2</v>
      </c>
    </row>
    <row r="105" spans="1:23" x14ac:dyDescent="0.25">
      <c r="A105" s="80">
        <v>1</v>
      </c>
      <c r="B105" s="81" t="s">
        <v>15</v>
      </c>
      <c r="C105" s="82" t="s">
        <v>143</v>
      </c>
      <c r="D105" s="51">
        <v>0</v>
      </c>
      <c r="E105" s="92">
        <v>57.34</v>
      </c>
      <c r="F105" s="92">
        <v>26.94</v>
      </c>
      <c r="G105" s="92">
        <v>60.48</v>
      </c>
      <c r="H105" s="93">
        <v>24.5</v>
      </c>
      <c r="I105" s="93">
        <f t="shared" si="2"/>
        <v>12.82</v>
      </c>
      <c r="J105" s="92">
        <f t="shared" si="3"/>
        <v>11.66</v>
      </c>
      <c r="K105" s="58">
        <v>192</v>
      </c>
      <c r="L105" s="58">
        <v>770</v>
      </c>
      <c r="M105" s="58">
        <v>38</v>
      </c>
      <c r="N105" s="101">
        <v>0.95</v>
      </c>
      <c r="O105" s="33">
        <v>53</v>
      </c>
      <c r="P105" s="105">
        <v>8.6999999999999994E-3</v>
      </c>
      <c r="Q105" s="113">
        <v>0.04</v>
      </c>
      <c r="R105" s="105">
        <v>0</v>
      </c>
      <c r="S105" s="109">
        <v>41.87</v>
      </c>
      <c r="T105" s="109">
        <v>7.35</v>
      </c>
      <c r="U105" s="109">
        <v>910.85</v>
      </c>
      <c r="V105" s="43">
        <v>1.1161000000000001</v>
      </c>
      <c r="W105" s="44">
        <v>1.5599999999999999E-2</v>
      </c>
    </row>
    <row r="106" spans="1:23" x14ac:dyDescent="0.25">
      <c r="A106" s="80">
        <v>1</v>
      </c>
      <c r="B106" s="81" t="s">
        <v>15</v>
      </c>
      <c r="C106" s="82" t="s">
        <v>144</v>
      </c>
      <c r="D106" s="51">
        <v>0</v>
      </c>
      <c r="E106" s="92">
        <v>57.34</v>
      </c>
      <c r="F106" s="92">
        <v>26.94</v>
      </c>
      <c r="G106" s="92">
        <v>60.4</v>
      </c>
      <c r="H106" s="93">
        <v>24.5</v>
      </c>
      <c r="I106" s="93">
        <f t="shared" si="2"/>
        <v>12.49</v>
      </c>
      <c r="J106" s="92">
        <f t="shared" si="3"/>
        <v>11.36</v>
      </c>
      <c r="K106" s="58">
        <v>192</v>
      </c>
      <c r="L106" s="58">
        <v>770</v>
      </c>
      <c r="M106" s="58">
        <v>38</v>
      </c>
      <c r="N106" s="101">
        <v>0.95</v>
      </c>
      <c r="O106" s="33">
        <v>53</v>
      </c>
      <c r="P106" s="105">
        <v>9.5999999999999992E-3</v>
      </c>
      <c r="Q106" s="113">
        <v>0.03</v>
      </c>
      <c r="R106" s="105">
        <v>0</v>
      </c>
      <c r="S106" s="109">
        <v>41.87</v>
      </c>
      <c r="T106" s="109">
        <v>7.35</v>
      </c>
      <c r="U106" s="109">
        <v>910.85</v>
      </c>
      <c r="V106" s="43">
        <v>1.1161000000000001</v>
      </c>
      <c r="W106" s="44">
        <v>1.5599999999999999E-2</v>
      </c>
    </row>
    <row r="107" spans="1:23" x14ac:dyDescent="0.25">
      <c r="A107" s="80">
        <v>1</v>
      </c>
      <c r="B107" s="81" t="s">
        <v>15</v>
      </c>
      <c r="C107" s="82" t="s">
        <v>145</v>
      </c>
      <c r="D107" s="51">
        <v>0</v>
      </c>
      <c r="E107" s="92">
        <v>57.34</v>
      </c>
      <c r="F107" s="92">
        <v>26.94</v>
      </c>
      <c r="G107" s="92">
        <v>60.33</v>
      </c>
      <c r="H107" s="93">
        <v>24.5</v>
      </c>
      <c r="I107" s="93">
        <f t="shared" si="2"/>
        <v>12.2</v>
      </c>
      <c r="J107" s="92">
        <f t="shared" si="3"/>
        <v>11.1</v>
      </c>
      <c r="K107" s="58">
        <v>192</v>
      </c>
      <c r="L107" s="58">
        <v>770</v>
      </c>
      <c r="M107" s="58">
        <v>38</v>
      </c>
      <c r="N107" s="101">
        <v>0.95</v>
      </c>
      <c r="O107" s="33">
        <v>53</v>
      </c>
      <c r="P107" s="105">
        <v>1.0800000000000001E-2</v>
      </c>
      <c r="Q107" s="113">
        <v>0.03</v>
      </c>
      <c r="R107" s="105">
        <v>0</v>
      </c>
      <c r="S107" s="109">
        <v>41.87</v>
      </c>
      <c r="T107" s="109">
        <v>7.35</v>
      </c>
      <c r="U107" s="109">
        <v>910.85</v>
      </c>
      <c r="V107" s="43">
        <v>1.1161000000000001</v>
      </c>
      <c r="W107" s="44">
        <v>1.5599999999999999E-2</v>
      </c>
    </row>
    <row r="108" spans="1:23" x14ac:dyDescent="0.25">
      <c r="A108" s="80">
        <v>1</v>
      </c>
      <c r="B108" s="81" t="s">
        <v>15</v>
      </c>
      <c r="C108" s="82" t="s">
        <v>146</v>
      </c>
      <c r="D108" s="51">
        <v>0</v>
      </c>
      <c r="E108" s="92">
        <v>57.34</v>
      </c>
      <c r="F108" s="92">
        <v>26.94</v>
      </c>
      <c r="G108" s="92">
        <v>60.26</v>
      </c>
      <c r="H108" s="93">
        <v>24.5</v>
      </c>
      <c r="I108" s="93">
        <f t="shared" si="2"/>
        <v>11.92</v>
      </c>
      <c r="J108" s="92">
        <f t="shared" si="3"/>
        <v>10.84</v>
      </c>
      <c r="K108" s="58">
        <v>192</v>
      </c>
      <c r="L108" s="58">
        <v>770</v>
      </c>
      <c r="M108" s="58">
        <v>38</v>
      </c>
      <c r="N108" s="101">
        <v>0.95</v>
      </c>
      <c r="O108" s="33">
        <v>53</v>
      </c>
      <c r="P108" s="105">
        <v>1.0500000000000001E-2</v>
      </c>
      <c r="Q108" s="113">
        <v>0.02</v>
      </c>
      <c r="R108" s="105">
        <v>0</v>
      </c>
      <c r="S108" s="109">
        <v>41.87</v>
      </c>
      <c r="T108" s="109">
        <v>7.35</v>
      </c>
      <c r="U108" s="109">
        <v>910.85</v>
      </c>
      <c r="V108" s="43">
        <v>1.1161000000000001</v>
      </c>
      <c r="W108" s="44">
        <v>1.5599999999999999E-2</v>
      </c>
    </row>
    <row r="109" spans="1:23" x14ac:dyDescent="0.25">
      <c r="A109" s="80">
        <v>1</v>
      </c>
      <c r="B109" s="81" t="s">
        <v>15</v>
      </c>
      <c r="C109" s="82" t="s">
        <v>147</v>
      </c>
      <c r="D109" s="51">
        <v>0</v>
      </c>
      <c r="E109" s="92">
        <v>57.34</v>
      </c>
      <c r="F109" s="92">
        <v>26.94</v>
      </c>
      <c r="G109" s="92">
        <v>60.2</v>
      </c>
      <c r="H109" s="93">
        <v>24.5</v>
      </c>
      <c r="I109" s="93">
        <f t="shared" si="2"/>
        <v>11.67</v>
      </c>
      <c r="J109" s="92">
        <f t="shared" si="3"/>
        <v>10.62</v>
      </c>
      <c r="K109" s="58">
        <v>192</v>
      </c>
      <c r="L109" s="58">
        <v>770</v>
      </c>
      <c r="M109" s="58">
        <v>38</v>
      </c>
      <c r="N109" s="101">
        <v>0.95</v>
      </c>
      <c r="O109" s="33">
        <v>53</v>
      </c>
      <c r="P109" s="105">
        <v>9.4000000000000004E-3</v>
      </c>
      <c r="Q109" s="113">
        <v>0.02</v>
      </c>
      <c r="R109" s="105">
        <v>0</v>
      </c>
      <c r="S109" s="109">
        <v>41.87</v>
      </c>
      <c r="T109" s="109">
        <v>7.35</v>
      </c>
      <c r="U109" s="109">
        <v>910.85</v>
      </c>
      <c r="V109" s="43">
        <v>1.1161000000000001</v>
      </c>
      <c r="W109" s="44">
        <v>1.5599999999999999E-2</v>
      </c>
    </row>
    <row r="110" spans="1:23" x14ac:dyDescent="0.25">
      <c r="A110" s="80">
        <v>1</v>
      </c>
      <c r="B110" s="81" t="s">
        <v>15</v>
      </c>
      <c r="C110" s="82" t="s">
        <v>148</v>
      </c>
      <c r="D110" s="51">
        <v>0</v>
      </c>
      <c r="E110" s="92">
        <v>57.34</v>
      </c>
      <c r="F110" s="92">
        <v>26.94</v>
      </c>
      <c r="G110" s="92">
        <v>60.13</v>
      </c>
      <c r="H110" s="93">
        <v>24.5</v>
      </c>
      <c r="I110" s="93">
        <f t="shared" si="2"/>
        <v>11.39</v>
      </c>
      <c r="J110" s="92">
        <f t="shared" si="3"/>
        <v>10.36</v>
      </c>
      <c r="K110" s="58">
        <v>192</v>
      </c>
      <c r="L110" s="58">
        <v>770</v>
      </c>
      <c r="M110" s="58">
        <v>38</v>
      </c>
      <c r="N110" s="101">
        <v>0.95</v>
      </c>
      <c r="O110" s="33">
        <v>53</v>
      </c>
      <c r="P110" s="105">
        <v>9.4000000000000004E-3</v>
      </c>
      <c r="Q110" s="113">
        <v>0.02</v>
      </c>
      <c r="R110" s="105">
        <v>0</v>
      </c>
      <c r="S110" s="109">
        <v>41.87</v>
      </c>
      <c r="T110" s="109">
        <v>7.35</v>
      </c>
      <c r="U110" s="109">
        <v>910.85</v>
      </c>
      <c r="V110" s="43">
        <v>1.1161000000000001</v>
      </c>
      <c r="W110" s="44">
        <v>1.5599999999999999E-2</v>
      </c>
    </row>
    <row r="111" spans="1:23" x14ac:dyDescent="0.25">
      <c r="A111" s="80">
        <v>1</v>
      </c>
      <c r="B111" s="81" t="s">
        <v>15</v>
      </c>
      <c r="C111" s="82" t="s">
        <v>149</v>
      </c>
      <c r="D111" s="51">
        <v>0</v>
      </c>
      <c r="E111" s="92">
        <v>57.34</v>
      </c>
      <c r="F111" s="92">
        <v>26.94</v>
      </c>
      <c r="G111" s="92">
        <v>60.07</v>
      </c>
      <c r="H111" s="93">
        <v>24.5</v>
      </c>
      <c r="I111" s="93">
        <f t="shared" si="2"/>
        <v>11.14</v>
      </c>
      <c r="J111" s="92">
        <f t="shared" si="3"/>
        <v>10.130000000000001</v>
      </c>
      <c r="K111" s="58">
        <v>192</v>
      </c>
      <c r="L111" s="58">
        <v>770</v>
      </c>
      <c r="M111" s="58">
        <v>38</v>
      </c>
      <c r="N111" s="101">
        <v>0.95</v>
      </c>
      <c r="O111" s="33">
        <v>53</v>
      </c>
      <c r="P111" s="105">
        <v>1.15E-2</v>
      </c>
      <c r="Q111" s="113">
        <v>0.03</v>
      </c>
      <c r="R111" s="105">
        <v>0</v>
      </c>
      <c r="S111" s="109">
        <v>41.87</v>
      </c>
      <c r="T111" s="109">
        <v>7.35</v>
      </c>
      <c r="U111" s="109">
        <v>910.85</v>
      </c>
      <c r="V111" s="43">
        <v>1.1161000000000001</v>
      </c>
      <c r="W111" s="44">
        <v>1.5599999999999999E-2</v>
      </c>
    </row>
    <row r="112" spans="1:23" x14ac:dyDescent="0.25">
      <c r="A112" s="80">
        <v>1</v>
      </c>
      <c r="B112" s="81" t="s">
        <v>15</v>
      </c>
      <c r="C112" s="82" t="s">
        <v>150</v>
      </c>
      <c r="D112" s="51">
        <v>0</v>
      </c>
      <c r="E112" s="92">
        <v>57.34</v>
      </c>
      <c r="F112" s="92">
        <v>26.94</v>
      </c>
      <c r="G112" s="92">
        <v>60.01</v>
      </c>
      <c r="H112" s="93">
        <v>24.5</v>
      </c>
      <c r="I112" s="93">
        <f t="shared" si="2"/>
        <v>10.9</v>
      </c>
      <c r="J112" s="92">
        <f t="shared" si="3"/>
        <v>9.91</v>
      </c>
      <c r="K112" s="58">
        <v>192</v>
      </c>
      <c r="L112" s="58">
        <v>770</v>
      </c>
      <c r="M112" s="58">
        <v>38</v>
      </c>
      <c r="N112" s="101">
        <v>0.95</v>
      </c>
      <c r="O112" s="33">
        <v>53</v>
      </c>
      <c r="P112" s="105">
        <v>1.12E-2</v>
      </c>
      <c r="Q112" s="113">
        <v>0.02</v>
      </c>
      <c r="R112" s="105">
        <v>0</v>
      </c>
      <c r="S112" s="109">
        <v>41.87</v>
      </c>
      <c r="T112" s="109">
        <v>7.35</v>
      </c>
      <c r="U112" s="109">
        <v>910.85</v>
      </c>
      <c r="V112" s="43">
        <v>1.1161000000000001</v>
      </c>
      <c r="W112" s="44">
        <v>1.5599999999999999E-2</v>
      </c>
    </row>
    <row r="113" spans="1:23" x14ac:dyDescent="0.25">
      <c r="A113" s="80">
        <v>1</v>
      </c>
      <c r="B113" s="81" t="s">
        <v>15</v>
      </c>
      <c r="C113" s="82" t="s">
        <v>151</v>
      </c>
      <c r="D113" s="51">
        <v>0</v>
      </c>
      <c r="E113" s="92">
        <v>57.34</v>
      </c>
      <c r="F113" s="92">
        <v>26.94</v>
      </c>
      <c r="G113" s="92">
        <v>59.95</v>
      </c>
      <c r="H113" s="93">
        <v>24.5</v>
      </c>
      <c r="I113" s="93">
        <f t="shared" si="2"/>
        <v>10.65</v>
      </c>
      <c r="J113" s="92">
        <f t="shared" si="3"/>
        <v>9.69</v>
      </c>
      <c r="K113" s="58">
        <v>192</v>
      </c>
      <c r="L113" s="58">
        <v>770</v>
      </c>
      <c r="M113" s="58">
        <v>38</v>
      </c>
      <c r="N113" s="101">
        <v>0.95</v>
      </c>
      <c r="O113" s="33">
        <v>53</v>
      </c>
      <c r="P113" s="105">
        <v>1.06E-2</v>
      </c>
      <c r="Q113" s="113">
        <v>0.02</v>
      </c>
      <c r="R113" s="105">
        <v>0</v>
      </c>
      <c r="S113" s="109">
        <v>41.87</v>
      </c>
      <c r="T113" s="109">
        <v>7.35</v>
      </c>
      <c r="U113" s="109">
        <v>910.85</v>
      </c>
      <c r="V113" s="43">
        <v>1.1161000000000001</v>
      </c>
      <c r="W113" s="44">
        <v>1.5599999999999999E-2</v>
      </c>
    </row>
    <row r="114" spans="1:23" x14ac:dyDescent="0.25">
      <c r="A114" s="80">
        <v>1</v>
      </c>
      <c r="B114" s="81" t="s">
        <v>15</v>
      </c>
      <c r="C114" s="82" t="s">
        <v>152</v>
      </c>
      <c r="D114" s="51">
        <v>0</v>
      </c>
      <c r="E114" s="92">
        <v>57.34</v>
      </c>
      <c r="F114" s="92">
        <v>26.94</v>
      </c>
      <c r="G114" s="92">
        <v>59.89</v>
      </c>
      <c r="H114" s="93">
        <v>24.5</v>
      </c>
      <c r="I114" s="93">
        <f t="shared" si="2"/>
        <v>10.41</v>
      </c>
      <c r="J114" s="92">
        <f t="shared" si="3"/>
        <v>9.4700000000000006</v>
      </c>
      <c r="K114" s="58">
        <v>192</v>
      </c>
      <c r="L114" s="58">
        <v>770</v>
      </c>
      <c r="M114" s="58">
        <v>38</v>
      </c>
      <c r="N114" s="101">
        <v>0.95</v>
      </c>
      <c r="O114" s="33">
        <v>53</v>
      </c>
      <c r="P114" s="105">
        <v>1.09E-2</v>
      </c>
      <c r="Q114" s="113">
        <v>0.02</v>
      </c>
      <c r="R114" s="105">
        <v>0</v>
      </c>
      <c r="S114" s="109">
        <v>41.87</v>
      </c>
      <c r="T114" s="109">
        <v>7.35</v>
      </c>
      <c r="U114" s="109">
        <v>910.85</v>
      </c>
      <c r="V114" s="43">
        <v>1.1161000000000001</v>
      </c>
      <c r="W114" s="44">
        <v>1.5599999999999999E-2</v>
      </c>
    </row>
    <row r="115" spans="1:23" x14ac:dyDescent="0.25">
      <c r="A115" s="80">
        <v>1</v>
      </c>
      <c r="B115" s="81" t="s">
        <v>15</v>
      </c>
      <c r="C115" s="82" t="s">
        <v>153</v>
      </c>
      <c r="D115" s="51">
        <v>0</v>
      </c>
      <c r="E115" s="92">
        <v>57.34</v>
      </c>
      <c r="F115" s="92">
        <v>26.94</v>
      </c>
      <c r="G115" s="92">
        <v>59.83</v>
      </c>
      <c r="H115" s="93">
        <v>24.5</v>
      </c>
      <c r="I115" s="93">
        <f t="shared" si="2"/>
        <v>10.16</v>
      </c>
      <c r="J115" s="92">
        <f t="shared" si="3"/>
        <v>9.24</v>
      </c>
      <c r="K115" s="58">
        <v>192</v>
      </c>
      <c r="L115" s="58">
        <v>770</v>
      </c>
      <c r="M115" s="58">
        <v>38</v>
      </c>
      <c r="N115" s="101">
        <v>0.95</v>
      </c>
      <c r="O115" s="33">
        <v>53</v>
      </c>
      <c r="P115" s="105">
        <v>1.1900000000000001E-2</v>
      </c>
      <c r="Q115" s="113">
        <v>0.02</v>
      </c>
      <c r="R115" s="105">
        <v>0</v>
      </c>
      <c r="S115" s="109">
        <v>41.87</v>
      </c>
      <c r="T115" s="109">
        <v>7.35</v>
      </c>
      <c r="U115" s="109">
        <v>910.85</v>
      </c>
      <c r="V115" s="43">
        <v>1.1161000000000001</v>
      </c>
      <c r="W115" s="44">
        <v>1.5599999999999999E-2</v>
      </c>
    </row>
    <row r="116" spans="1:23" x14ac:dyDescent="0.25">
      <c r="A116" s="80">
        <v>1</v>
      </c>
      <c r="B116" s="81" t="s">
        <v>15</v>
      </c>
      <c r="C116" s="82" t="s">
        <v>154</v>
      </c>
      <c r="D116" s="51">
        <v>0</v>
      </c>
      <c r="E116" s="92">
        <v>57.34</v>
      </c>
      <c r="F116" s="92">
        <v>26.94</v>
      </c>
      <c r="G116" s="92">
        <v>59.78</v>
      </c>
      <c r="H116" s="93">
        <v>24.5</v>
      </c>
      <c r="I116" s="93">
        <f t="shared" si="2"/>
        <v>9.9600000000000009</v>
      </c>
      <c r="J116" s="92">
        <f t="shared" si="3"/>
        <v>9.06</v>
      </c>
      <c r="K116" s="58">
        <v>192</v>
      </c>
      <c r="L116" s="58">
        <v>770</v>
      </c>
      <c r="M116" s="58">
        <v>38</v>
      </c>
      <c r="N116" s="101">
        <v>0.95</v>
      </c>
      <c r="O116" s="33">
        <v>53</v>
      </c>
      <c r="P116" s="105">
        <v>9.4000000000000004E-3</v>
      </c>
      <c r="Q116" s="113">
        <v>0.02</v>
      </c>
      <c r="R116" s="105">
        <v>0</v>
      </c>
      <c r="S116" s="109">
        <v>41.87</v>
      </c>
      <c r="T116" s="109">
        <v>7.35</v>
      </c>
      <c r="U116" s="109">
        <v>910.85</v>
      </c>
      <c r="V116" s="43">
        <v>1.1161000000000001</v>
      </c>
      <c r="W116" s="44">
        <v>1.5599999999999999E-2</v>
      </c>
    </row>
    <row r="117" spans="1:23" x14ac:dyDescent="0.25">
      <c r="A117" s="80">
        <v>1</v>
      </c>
      <c r="B117" s="81" t="s">
        <v>15</v>
      </c>
      <c r="C117" s="82" t="s">
        <v>155</v>
      </c>
      <c r="D117" s="51">
        <v>0</v>
      </c>
      <c r="E117" s="92">
        <v>57.34</v>
      </c>
      <c r="F117" s="92">
        <v>26.94</v>
      </c>
      <c r="G117" s="92">
        <v>59.72</v>
      </c>
      <c r="H117" s="93">
        <v>24.5</v>
      </c>
      <c r="I117" s="93">
        <f t="shared" si="2"/>
        <v>9.7100000000000009</v>
      </c>
      <c r="J117" s="92">
        <f t="shared" si="3"/>
        <v>8.83</v>
      </c>
      <c r="K117" s="58">
        <v>192</v>
      </c>
      <c r="L117" s="58">
        <v>770</v>
      </c>
      <c r="M117" s="58">
        <v>38</v>
      </c>
      <c r="N117" s="101">
        <v>0.95</v>
      </c>
      <c r="O117" s="33">
        <v>53</v>
      </c>
      <c r="P117" s="105">
        <v>1.3299999999999999E-2</v>
      </c>
      <c r="Q117" s="113">
        <v>0.02</v>
      </c>
      <c r="R117" s="105">
        <v>0</v>
      </c>
      <c r="S117" s="109">
        <v>41.87</v>
      </c>
      <c r="T117" s="109">
        <v>7.35</v>
      </c>
      <c r="U117" s="109">
        <v>910.85</v>
      </c>
      <c r="V117" s="43">
        <v>1.1161000000000001</v>
      </c>
      <c r="W117" s="44">
        <v>1.5599999999999999E-2</v>
      </c>
    </row>
    <row r="118" spans="1:23" x14ac:dyDescent="0.25">
      <c r="A118" s="80">
        <v>1</v>
      </c>
      <c r="B118" s="81" t="s">
        <v>15</v>
      </c>
      <c r="C118" s="82" t="s">
        <v>156</v>
      </c>
      <c r="D118" s="51">
        <v>0</v>
      </c>
      <c r="E118" s="92">
        <v>57.34</v>
      </c>
      <c r="F118" s="92">
        <v>26.94</v>
      </c>
      <c r="G118" s="92">
        <v>59.67</v>
      </c>
      <c r="H118" s="93">
        <v>24.5</v>
      </c>
      <c r="I118" s="93">
        <f t="shared" si="2"/>
        <v>9.51</v>
      </c>
      <c r="J118" s="92">
        <f t="shared" si="3"/>
        <v>8.65</v>
      </c>
      <c r="K118" s="58">
        <v>192</v>
      </c>
      <c r="L118" s="58">
        <v>770</v>
      </c>
      <c r="M118" s="58">
        <v>38</v>
      </c>
      <c r="N118" s="101">
        <v>0.95</v>
      </c>
      <c r="O118" s="33">
        <v>53</v>
      </c>
      <c r="P118" s="105">
        <v>9.4999999999999998E-3</v>
      </c>
      <c r="Q118" s="113">
        <v>0.02</v>
      </c>
      <c r="R118" s="105">
        <v>0</v>
      </c>
      <c r="S118" s="109">
        <v>41.87</v>
      </c>
      <c r="T118" s="109">
        <v>7.35</v>
      </c>
      <c r="U118" s="109">
        <v>910.85</v>
      </c>
      <c r="V118" s="43">
        <v>1.1161000000000001</v>
      </c>
      <c r="W118" s="44">
        <v>1.5599999999999999E-2</v>
      </c>
    </row>
    <row r="119" spans="1:23" x14ac:dyDescent="0.25">
      <c r="A119" s="80">
        <v>1</v>
      </c>
      <c r="B119" s="81" t="s">
        <v>15</v>
      </c>
      <c r="C119" s="82" t="s">
        <v>157</v>
      </c>
      <c r="D119" s="51">
        <v>0</v>
      </c>
      <c r="E119" s="92">
        <v>57.34</v>
      </c>
      <c r="F119" s="92">
        <v>26.94</v>
      </c>
      <c r="G119" s="92">
        <v>59.61</v>
      </c>
      <c r="H119" s="93">
        <v>24.5</v>
      </c>
      <c r="I119" s="93">
        <f t="shared" si="2"/>
        <v>9.27</v>
      </c>
      <c r="J119" s="92">
        <f t="shared" si="3"/>
        <v>8.43</v>
      </c>
      <c r="K119" s="58">
        <v>192</v>
      </c>
      <c r="L119" s="58">
        <v>770</v>
      </c>
      <c r="M119" s="58">
        <v>38</v>
      </c>
      <c r="N119" s="101">
        <v>0.95</v>
      </c>
      <c r="O119" s="33">
        <v>53</v>
      </c>
      <c r="P119" s="105">
        <v>1.1299999999999999E-2</v>
      </c>
      <c r="Q119" s="113">
        <v>0.02</v>
      </c>
      <c r="R119" s="105">
        <v>0</v>
      </c>
      <c r="S119" s="109">
        <v>41.87</v>
      </c>
      <c r="T119" s="109">
        <v>7.35</v>
      </c>
      <c r="U119" s="109">
        <v>910.85</v>
      </c>
      <c r="V119" s="43">
        <v>1.1161000000000001</v>
      </c>
      <c r="W119" s="44">
        <v>1.5599999999999999E-2</v>
      </c>
    </row>
    <row r="120" spans="1:23" x14ac:dyDescent="0.25">
      <c r="A120" s="80">
        <v>1</v>
      </c>
      <c r="B120" s="81" t="s">
        <v>15</v>
      </c>
      <c r="C120" s="82" t="s">
        <v>158</v>
      </c>
      <c r="D120" s="51">
        <v>0</v>
      </c>
      <c r="E120" s="92">
        <v>57.34</v>
      </c>
      <c r="F120" s="92">
        <v>26.94</v>
      </c>
      <c r="G120" s="92">
        <v>59.56</v>
      </c>
      <c r="H120" s="93">
        <v>24.5</v>
      </c>
      <c r="I120" s="93">
        <f t="shared" si="2"/>
        <v>9.06</v>
      </c>
      <c r="J120" s="92">
        <f t="shared" si="3"/>
        <v>8.24</v>
      </c>
      <c r="K120" s="58">
        <v>192</v>
      </c>
      <c r="L120" s="58">
        <v>770</v>
      </c>
      <c r="M120" s="58">
        <v>38</v>
      </c>
      <c r="N120" s="101">
        <v>0.95</v>
      </c>
      <c r="O120" s="33">
        <v>53</v>
      </c>
      <c r="P120" s="105">
        <v>1.12E-2</v>
      </c>
      <c r="Q120" s="113">
        <v>0.02</v>
      </c>
      <c r="R120" s="105">
        <v>0</v>
      </c>
      <c r="S120" s="109">
        <v>41.87</v>
      </c>
      <c r="T120" s="109">
        <v>7.35</v>
      </c>
      <c r="U120" s="109">
        <v>910.85</v>
      </c>
      <c r="V120" s="43">
        <v>1.1161000000000001</v>
      </c>
      <c r="W120" s="44">
        <v>1.5599999999999999E-2</v>
      </c>
    </row>
    <row r="121" spans="1:23" x14ac:dyDescent="0.25">
      <c r="A121" s="80">
        <v>1</v>
      </c>
      <c r="B121" s="81" t="s">
        <v>15</v>
      </c>
      <c r="C121" s="82" t="s">
        <v>159</v>
      </c>
      <c r="D121" s="51">
        <v>0</v>
      </c>
      <c r="E121" s="92">
        <v>57.34</v>
      </c>
      <c r="F121" s="92">
        <v>26.94</v>
      </c>
      <c r="G121" s="92">
        <v>59.51</v>
      </c>
      <c r="H121" s="93">
        <v>24.5</v>
      </c>
      <c r="I121" s="93">
        <f t="shared" si="2"/>
        <v>8.86</v>
      </c>
      <c r="J121" s="92">
        <f t="shared" si="3"/>
        <v>8.0500000000000007</v>
      </c>
      <c r="K121" s="58">
        <v>192</v>
      </c>
      <c r="L121" s="58">
        <v>770</v>
      </c>
      <c r="M121" s="58">
        <v>38</v>
      </c>
      <c r="N121" s="101">
        <v>0.95</v>
      </c>
      <c r="O121" s="33">
        <v>53</v>
      </c>
      <c r="P121" s="105">
        <v>1.09E-2</v>
      </c>
      <c r="Q121" s="113">
        <v>0.01</v>
      </c>
      <c r="R121" s="105">
        <v>0</v>
      </c>
      <c r="S121" s="109">
        <v>41.87</v>
      </c>
      <c r="T121" s="109">
        <v>7.35</v>
      </c>
      <c r="U121" s="109">
        <v>910.85</v>
      </c>
      <c r="V121" s="43">
        <v>1.1161000000000001</v>
      </c>
      <c r="W121" s="44">
        <v>1.5599999999999999E-2</v>
      </c>
    </row>
    <row r="122" spans="1:23" x14ac:dyDescent="0.25">
      <c r="A122" s="80">
        <v>1</v>
      </c>
      <c r="B122" s="81" t="s">
        <v>15</v>
      </c>
      <c r="C122" s="82" t="s">
        <v>160</v>
      </c>
      <c r="D122" s="51">
        <v>0</v>
      </c>
      <c r="E122" s="92">
        <v>57.34</v>
      </c>
      <c r="F122" s="92">
        <v>26.94</v>
      </c>
      <c r="G122" s="92">
        <v>59.46</v>
      </c>
      <c r="H122" s="93">
        <v>24.5</v>
      </c>
      <c r="I122" s="93">
        <f t="shared" si="2"/>
        <v>8.65</v>
      </c>
      <c r="J122" s="92">
        <f t="shared" si="3"/>
        <v>7.87</v>
      </c>
      <c r="K122" s="58">
        <v>192</v>
      </c>
      <c r="L122" s="58">
        <v>770</v>
      </c>
      <c r="M122" s="58">
        <v>38</v>
      </c>
      <c r="N122" s="101">
        <v>0.95</v>
      </c>
      <c r="O122" s="33">
        <v>53</v>
      </c>
      <c r="P122" s="105">
        <v>1.2E-2</v>
      </c>
      <c r="Q122" s="113">
        <v>0.02</v>
      </c>
      <c r="R122" s="105">
        <v>0</v>
      </c>
      <c r="S122" s="109">
        <v>41.87</v>
      </c>
      <c r="T122" s="109">
        <v>7.35</v>
      </c>
      <c r="U122" s="109">
        <v>910.85</v>
      </c>
      <c r="V122" s="43">
        <v>1.1161000000000001</v>
      </c>
      <c r="W122" s="44">
        <v>1.5599999999999999E-2</v>
      </c>
    </row>
    <row r="123" spans="1:23" x14ac:dyDescent="0.25">
      <c r="A123" s="80">
        <v>1</v>
      </c>
      <c r="B123" s="81" t="s">
        <v>15</v>
      </c>
      <c r="C123" s="82" t="s">
        <v>161</v>
      </c>
      <c r="D123" s="51">
        <v>0</v>
      </c>
      <c r="E123" s="92">
        <v>57.34</v>
      </c>
      <c r="F123" s="92">
        <v>26.94</v>
      </c>
      <c r="G123" s="92">
        <v>59.41</v>
      </c>
      <c r="H123" s="93">
        <v>24.5</v>
      </c>
      <c r="I123" s="93">
        <f t="shared" si="2"/>
        <v>8.4499999999999993</v>
      </c>
      <c r="J123" s="92">
        <f t="shared" si="3"/>
        <v>7.68</v>
      </c>
      <c r="K123" s="58">
        <v>192</v>
      </c>
      <c r="L123" s="58">
        <v>770</v>
      </c>
      <c r="M123" s="58">
        <v>38</v>
      </c>
      <c r="N123" s="101">
        <v>0.95</v>
      </c>
      <c r="O123" s="33">
        <v>53</v>
      </c>
      <c r="P123" s="105">
        <v>1.2E-2</v>
      </c>
      <c r="Q123" s="113">
        <v>0.02</v>
      </c>
      <c r="R123" s="105">
        <v>0</v>
      </c>
      <c r="S123" s="109">
        <v>41.87</v>
      </c>
      <c r="T123" s="109">
        <v>7.35</v>
      </c>
      <c r="U123" s="109">
        <v>910.85</v>
      </c>
      <c r="V123" s="43">
        <v>1.1161000000000001</v>
      </c>
      <c r="W123" s="44">
        <v>1.5599999999999999E-2</v>
      </c>
    </row>
    <row r="124" spans="1:23" x14ac:dyDescent="0.25">
      <c r="A124" s="80">
        <v>1</v>
      </c>
      <c r="B124" s="81" t="s">
        <v>15</v>
      </c>
      <c r="C124" s="82" t="s">
        <v>162</v>
      </c>
      <c r="D124" s="51">
        <v>0</v>
      </c>
      <c r="E124" s="92">
        <v>57.34</v>
      </c>
      <c r="F124" s="92">
        <v>26.94</v>
      </c>
      <c r="G124" s="92">
        <v>59.36</v>
      </c>
      <c r="H124" s="93">
        <v>24.5</v>
      </c>
      <c r="I124" s="93">
        <f t="shared" si="2"/>
        <v>8.24</v>
      </c>
      <c r="J124" s="92">
        <f t="shared" si="3"/>
        <v>7.5</v>
      </c>
      <c r="K124" s="58">
        <v>192</v>
      </c>
      <c r="L124" s="58">
        <v>770</v>
      </c>
      <c r="M124" s="58">
        <v>38</v>
      </c>
      <c r="N124" s="101">
        <v>0.95</v>
      </c>
      <c r="O124" s="33">
        <v>53</v>
      </c>
      <c r="P124" s="105">
        <v>1.03E-2</v>
      </c>
      <c r="Q124" s="113">
        <v>0.01</v>
      </c>
      <c r="R124" s="105">
        <v>0</v>
      </c>
      <c r="S124" s="109">
        <v>41.87</v>
      </c>
      <c r="T124" s="109">
        <v>7.35</v>
      </c>
      <c r="U124" s="109">
        <v>910.85</v>
      </c>
      <c r="V124" s="43">
        <v>1.1161000000000001</v>
      </c>
      <c r="W124" s="44">
        <v>1.5599999999999999E-2</v>
      </c>
    </row>
    <row r="125" spans="1:23" x14ac:dyDescent="0.25">
      <c r="A125" s="80">
        <v>1</v>
      </c>
      <c r="B125" s="81" t="s">
        <v>15</v>
      </c>
      <c r="C125" s="82" t="s">
        <v>163</v>
      </c>
      <c r="D125" s="51">
        <v>0</v>
      </c>
      <c r="E125" s="92">
        <v>57.34</v>
      </c>
      <c r="F125" s="92">
        <v>26.94</v>
      </c>
      <c r="G125" s="92">
        <v>59.32</v>
      </c>
      <c r="H125" s="93">
        <v>24.5</v>
      </c>
      <c r="I125" s="93">
        <f t="shared" si="2"/>
        <v>8.08</v>
      </c>
      <c r="J125" s="92">
        <f t="shared" si="3"/>
        <v>7.35</v>
      </c>
      <c r="K125" s="58">
        <v>192</v>
      </c>
      <c r="L125" s="58">
        <v>770</v>
      </c>
      <c r="M125" s="58">
        <v>38</v>
      </c>
      <c r="N125" s="101">
        <v>0.95</v>
      </c>
      <c r="O125" s="33">
        <v>53</v>
      </c>
      <c r="P125" s="105">
        <v>1.1599999999999999E-2</v>
      </c>
      <c r="Q125" s="113">
        <v>0.01</v>
      </c>
      <c r="R125" s="105">
        <v>0</v>
      </c>
      <c r="S125" s="109">
        <v>41.87</v>
      </c>
      <c r="T125" s="109">
        <v>7.35</v>
      </c>
      <c r="U125" s="109">
        <v>910.85</v>
      </c>
      <c r="V125" s="43">
        <v>1.1161000000000001</v>
      </c>
      <c r="W125" s="44">
        <v>1.5599999999999999E-2</v>
      </c>
    </row>
    <row r="126" spans="1:23" x14ac:dyDescent="0.25">
      <c r="A126" s="80">
        <v>1</v>
      </c>
      <c r="B126" s="81" t="s">
        <v>15</v>
      </c>
      <c r="C126" s="82" t="s">
        <v>164</v>
      </c>
      <c r="D126" s="51">
        <v>0</v>
      </c>
      <c r="E126" s="92">
        <v>57.34</v>
      </c>
      <c r="F126" s="92">
        <v>26.94</v>
      </c>
      <c r="G126" s="92">
        <v>59.27</v>
      </c>
      <c r="H126" s="93">
        <v>24.5</v>
      </c>
      <c r="I126" s="93">
        <f t="shared" si="2"/>
        <v>7.88</v>
      </c>
      <c r="J126" s="92">
        <f t="shared" si="3"/>
        <v>7.16</v>
      </c>
      <c r="K126" s="58">
        <v>192</v>
      </c>
      <c r="L126" s="58">
        <v>770</v>
      </c>
      <c r="M126" s="58">
        <v>38</v>
      </c>
      <c r="N126" s="101">
        <v>0.95</v>
      </c>
      <c r="O126" s="33">
        <v>53</v>
      </c>
      <c r="P126" s="105">
        <v>1.2200000000000001E-2</v>
      </c>
      <c r="Q126" s="113">
        <v>0.01</v>
      </c>
      <c r="R126" s="105">
        <v>0</v>
      </c>
      <c r="S126" s="109">
        <v>41.87</v>
      </c>
      <c r="T126" s="109">
        <v>7.35</v>
      </c>
      <c r="U126" s="109">
        <v>910.85</v>
      </c>
      <c r="V126" s="43">
        <v>1.1161000000000001</v>
      </c>
      <c r="W126" s="44">
        <v>1.5599999999999999E-2</v>
      </c>
    </row>
    <row r="127" spans="1:23" x14ac:dyDescent="0.25">
      <c r="A127" s="80">
        <v>1</v>
      </c>
      <c r="B127" s="81" t="s">
        <v>15</v>
      </c>
      <c r="C127" s="82" t="s">
        <v>165</v>
      </c>
      <c r="D127" s="51">
        <v>0</v>
      </c>
      <c r="E127" s="92">
        <v>57.34</v>
      </c>
      <c r="F127" s="92">
        <v>26.94</v>
      </c>
      <c r="G127" s="92">
        <v>59.23</v>
      </c>
      <c r="H127" s="93">
        <v>24.5</v>
      </c>
      <c r="I127" s="93">
        <f t="shared" si="2"/>
        <v>7.71</v>
      </c>
      <c r="J127" s="92">
        <f t="shared" si="3"/>
        <v>7.02</v>
      </c>
      <c r="K127" s="58">
        <v>192</v>
      </c>
      <c r="L127" s="58">
        <v>770</v>
      </c>
      <c r="M127" s="58">
        <v>38</v>
      </c>
      <c r="N127" s="101">
        <v>0.95</v>
      </c>
      <c r="O127" s="33">
        <v>53</v>
      </c>
      <c r="P127" s="105">
        <v>1.2200000000000001E-2</v>
      </c>
      <c r="Q127" s="113">
        <v>0.01</v>
      </c>
      <c r="R127" s="105">
        <v>0</v>
      </c>
      <c r="S127" s="109">
        <v>41.87</v>
      </c>
      <c r="T127" s="109">
        <v>7.35</v>
      </c>
      <c r="U127" s="109">
        <v>910.85</v>
      </c>
      <c r="V127" s="43">
        <v>1.1161000000000001</v>
      </c>
      <c r="W127" s="44">
        <v>1.5599999999999999E-2</v>
      </c>
    </row>
    <row r="128" spans="1:23" x14ac:dyDescent="0.25">
      <c r="A128" s="80">
        <v>1</v>
      </c>
      <c r="B128" s="81" t="s">
        <v>15</v>
      </c>
      <c r="C128" s="82" t="s">
        <v>166</v>
      </c>
      <c r="D128" s="51">
        <v>0</v>
      </c>
      <c r="E128" s="92">
        <v>57.34</v>
      </c>
      <c r="F128" s="92">
        <v>26.94</v>
      </c>
      <c r="G128" s="92">
        <v>59.19</v>
      </c>
      <c r="H128" s="93">
        <v>24.5</v>
      </c>
      <c r="I128" s="93">
        <f t="shared" si="2"/>
        <v>7.55</v>
      </c>
      <c r="J128" s="92">
        <f t="shared" si="3"/>
        <v>6.87</v>
      </c>
      <c r="K128" s="58">
        <v>192</v>
      </c>
      <c r="L128" s="58">
        <v>770</v>
      </c>
      <c r="M128" s="58">
        <v>38</v>
      </c>
      <c r="N128" s="101">
        <v>0.95</v>
      </c>
      <c r="O128" s="33">
        <v>53</v>
      </c>
      <c r="P128" s="105">
        <v>1.3899999999999999E-2</v>
      </c>
      <c r="Q128" s="113">
        <v>0.01</v>
      </c>
      <c r="R128" s="105">
        <v>0</v>
      </c>
      <c r="S128" s="109">
        <v>41.87</v>
      </c>
      <c r="T128" s="109">
        <v>7.35</v>
      </c>
      <c r="U128" s="109">
        <v>910.85</v>
      </c>
      <c r="V128" s="43">
        <v>1.1161000000000001</v>
      </c>
      <c r="W128" s="44">
        <v>1.5599999999999999E-2</v>
      </c>
    </row>
    <row r="129" spans="1:23" x14ac:dyDescent="0.25">
      <c r="A129" s="80">
        <v>1</v>
      </c>
      <c r="B129" s="81" t="s">
        <v>15</v>
      </c>
      <c r="C129" s="82" t="s">
        <v>167</v>
      </c>
      <c r="D129" s="51">
        <v>0</v>
      </c>
      <c r="E129" s="92">
        <v>57.34</v>
      </c>
      <c r="F129" s="92">
        <v>26.94</v>
      </c>
      <c r="G129" s="92">
        <v>59.14</v>
      </c>
      <c r="H129" s="93">
        <v>24.5</v>
      </c>
      <c r="I129" s="93">
        <f t="shared" si="2"/>
        <v>7.35</v>
      </c>
      <c r="J129" s="92">
        <f t="shared" si="3"/>
        <v>6.68</v>
      </c>
      <c r="K129" s="58">
        <v>192</v>
      </c>
      <c r="L129" s="58">
        <v>770</v>
      </c>
      <c r="M129" s="58">
        <v>38</v>
      </c>
      <c r="N129" s="101">
        <v>0.95</v>
      </c>
      <c r="O129" s="33">
        <v>53</v>
      </c>
      <c r="P129" s="105">
        <v>1.21E-2</v>
      </c>
      <c r="Q129" s="113">
        <v>0.01</v>
      </c>
      <c r="R129" s="105">
        <v>0</v>
      </c>
      <c r="S129" s="109">
        <v>41.87</v>
      </c>
      <c r="T129" s="109">
        <v>7.35</v>
      </c>
      <c r="U129" s="109">
        <v>910.85</v>
      </c>
      <c r="V129" s="43">
        <v>1.1161000000000001</v>
      </c>
      <c r="W129" s="44">
        <v>1.5599999999999999E-2</v>
      </c>
    </row>
    <row r="130" spans="1:23" x14ac:dyDescent="0.25">
      <c r="A130" s="80">
        <v>1</v>
      </c>
      <c r="B130" s="81" t="s">
        <v>15</v>
      </c>
      <c r="C130" s="82" t="s">
        <v>168</v>
      </c>
      <c r="D130" s="51">
        <v>0</v>
      </c>
      <c r="E130" s="92">
        <v>57.34</v>
      </c>
      <c r="F130" s="92">
        <v>26.94</v>
      </c>
      <c r="G130" s="92">
        <v>59.1</v>
      </c>
      <c r="H130" s="93">
        <v>24.5</v>
      </c>
      <c r="I130" s="93">
        <f t="shared" si="2"/>
        <v>7.18</v>
      </c>
      <c r="J130" s="92">
        <f t="shared" si="3"/>
        <v>6.53</v>
      </c>
      <c r="K130" s="58">
        <v>192</v>
      </c>
      <c r="L130" s="58">
        <v>770</v>
      </c>
      <c r="M130" s="58">
        <v>38</v>
      </c>
      <c r="N130" s="101">
        <v>0.95</v>
      </c>
      <c r="O130" s="33">
        <v>53</v>
      </c>
      <c r="P130" s="105">
        <v>1.34E-2</v>
      </c>
      <c r="Q130" s="113">
        <v>0.01</v>
      </c>
      <c r="R130" s="105">
        <v>0</v>
      </c>
      <c r="S130" s="109">
        <v>41.87</v>
      </c>
      <c r="T130" s="109">
        <v>7.35</v>
      </c>
      <c r="U130" s="109">
        <v>910.85</v>
      </c>
      <c r="V130" s="43">
        <v>1.1161000000000001</v>
      </c>
      <c r="W130" s="44">
        <v>1.5599999999999999E-2</v>
      </c>
    </row>
    <row r="131" spans="1:23" x14ac:dyDescent="0.25">
      <c r="A131" s="80">
        <v>1</v>
      </c>
      <c r="B131" s="81" t="s">
        <v>15</v>
      </c>
      <c r="C131" s="82" t="s">
        <v>169</v>
      </c>
      <c r="D131" s="51">
        <v>0</v>
      </c>
      <c r="E131" s="92">
        <v>57.34</v>
      </c>
      <c r="F131" s="92">
        <v>26.94</v>
      </c>
      <c r="G131" s="92">
        <v>59.06</v>
      </c>
      <c r="H131" s="93">
        <v>24.5</v>
      </c>
      <c r="I131" s="93">
        <f t="shared" si="2"/>
        <v>7.02</v>
      </c>
      <c r="J131" s="92">
        <f t="shared" si="3"/>
        <v>6.38</v>
      </c>
      <c r="K131" s="58">
        <v>192</v>
      </c>
      <c r="L131" s="58">
        <v>770</v>
      </c>
      <c r="M131" s="58">
        <v>38</v>
      </c>
      <c r="N131" s="101">
        <v>0.95</v>
      </c>
      <c r="O131" s="33">
        <v>53</v>
      </c>
      <c r="P131" s="105">
        <v>1.3299999999999999E-2</v>
      </c>
      <c r="Q131" s="113">
        <v>0.01</v>
      </c>
      <c r="R131" s="105">
        <v>0</v>
      </c>
      <c r="S131" s="109">
        <v>41.87</v>
      </c>
      <c r="T131" s="109">
        <v>7.35</v>
      </c>
      <c r="U131" s="109">
        <v>910.85</v>
      </c>
      <c r="V131" s="43">
        <v>1.1161000000000001</v>
      </c>
      <c r="W131" s="44">
        <v>1.5599999999999999E-2</v>
      </c>
    </row>
    <row r="132" spans="1:23" x14ac:dyDescent="0.25">
      <c r="A132" s="80">
        <v>1</v>
      </c>
      <c r="B132" s="81" t="s">
        <v>15</v>
      </c>
      <c r="C132" s="82" t="s">
        <v>170</v>
      </c>
      <c r="D132" s="51">
        <v>0</v>
      </c>
      <c r="E132" s="92">
        <v>57.34</v>
      </c>
      <c r="F132" s="92">
        <v>26.94</v>
      </c>
      <c r="G132" s="92">
        <v>59.01</v>
      </c>
      <c r="H132" s="93">
        <v>24.5</v>
      </c>
      <c r="I132" s="93">
        <f t="shared" ref="I132:I195" si="4">100*(G132-E132)/H132</f>
        <v>6.82</v>
      </c>
      <c r="J132" s="92">
        <f t="shared" ref="J132:J195" si="5">100*(G132-E132)/F132</f>
        <v>6.2</v>
      </c>
      <c r="K132" s="58">
        <v>192</v>
      </c>
      <c r="L132" s="58">
        <v>770</v>
      </c>
      <c r="M132" s="58">
        <v>38</v>
      </c>
      <c r="N132" s="101">
        <v>0.95</v>
      </c>
      <c r="O132" s="33">
        <v>53</v>
      </c>
      <c r="P132" s="105">
        <v>1.37E-2</v>
      </c>
      <c r="Q132" s="113">
        <v>0.01</v>
      </c>
      <c r="R132" s="105">
        <v>0</v>
      </c>
      <c r="S132" s="109">
        <v>41.87</v>
      </c>
      <c r="T132" s="109">
        <v>7.35</v>
      </c>
      <c r="U132" s="109">
        <v>910.85</v>
      </c>
      <c r="V132" s="43">
        <v>1.1161000000000001</v>
      </c>
      <c r="W132" s="44">
        <v>1.5599999999999999E-2</v>
      </c>
    </row>
    <row r="133" spans="1:23" x14ac:dyDescent="0.25">
      <c r="A133" s="80">
        <v>1</v>
      </c>
      <c r="B133" s="81" t="s">
        <v>15</v>
      </c>
      <c r="C133" s="82" t="s">
        <v>171</v>
      </c>
      <c r="D133" s="51">
        <v>0</v>
      </c>
      <c r="E133" s="92">
        <v>57.34</v>
      </c>
      <c r="F133" s="92">
        <v>26.94</v>
      </c>
      <c r="G133" s="92">
        <v>58.98</v>
      </c>
      <c r="H133" s="93">
        <v>24.5</v>
      </c>
      <c r="I133" s="93">
        <f t="shared" si="4"/>
        <v>6.69</v>
      </c>
      <c r="J133" s="92">
        <f t="shared" si="5"/>
        <v>6.09</v>
      </c>
      <c r="K133" s="58">
        <v>192</v>
      </c>
      <c r="L133" s="58">
        <v>770</v>
      </c>
      <c r="M133" s="58">
        <v>38</v>
      </c>
      <c r="N133" s="101">
        <v>0.95</v>
      </c>
      <c r="O133" s="33">
        <v>53</v>
      </c>
      <c r="P133" s="105">
        <v>1.0999999999999999E-2</v>
      </c>
      <c r="Q133" s="113">
        <v>0.01</v>
      </c>
      <c r="R133" s="105">
        <v>0</v>
      </c>
      <c r="S133" s="109">
        <v>41.87</v>
      </c>
      <c r="T133" s="109">
        <v>7.35</v>
      </c>
      <c r="U133" s="109">
        <v>910.85</v>
      </c>
      <c r="V133" s="43">
        <v>1.1161000000000001</v>
      </c>
      <c r="W133" s="44">
        <v>1.5599999999999999E-2</v>
      </c>
    </row>
    <row r="134" spans="1:23" x14ac:dyDescent="0.25">
      <c r="A134" s="80">
        <v>1</v>
      </c>
      <c r="B134" s="81" t="s">
        <v>15</v>
      </c>
      <c r="C134" s="82" t="s">
        <v>172</v>
      </c>
      <c r="D134" s="51">
        <v>0</v>
      </c>
      <c r="E134" s="92">
        <v>57.34</v>
      </c>
      <c r="F134" s="92">
        <v>26.94</v>
      </c>
      <c r="G134" s="92">
        <v>58.94</v>
      </c>
      <c r="H134" s="93">
        <v>24.5</v>
      </c>
      <c r="I134" s="93">
        <f t="shared" si="4"/>
        <v>6.53</v>
      </c>
      <c r="J134" s="92">
        <f t="shared" si="5"/>
        <v>5.94</v>
      </c>
      <c r="K134" s="58">
        <v>192</v>
      </c>
      <c r="L134" s="58">
        <v>770</v>
      </c>
      <c r="M134" s="58">
        <v>38</v>
      </c>
      <c r="N134" s="101">
        <v>0.95</v>
      </c>
      <c r="O134" s="33">
        <v>53</v>
      </c>
      <c r="P134" s="105">
        <v>1.2E-2</v>
      </c>
      <c r="Q134" s="113">
        <v>0.01</v>
      </c>
      <c r="R134" s="105">
        <v>0</v>
      </c>
      <c r="S134" s="109">
        <v>41.87</v>
      </c>
      <c r="T134" s="109">
        <v>7.35</v>
      </c>
      <c r="U134" s="109">
        <v>910.85</v>
      </c>
      <c r="V134" s="43">
        <v>1.1161000000000001</v>
      </c>
      <c r="W134" s="44">
        <v>1.5599999999999999E-2</v>
      </c>
    </row>
    <row r="135" spans="1:23" x14ac:dyDescent="0.25">
      <c r="A135" s="80">
        <v>1</v>
      </c>
      <c r="B135" s="81" t="s">
        <v>15</v>
      </c>
      <c r="C135" s="82" t="s">
        <v>173</v>
      </c>
      <c r="D135" s="51">
        <v>0</v>
      </c>
      <c r="E135" s="92">
        <v>57.34</v>
      </c>
      <c r="F135" s="92">
        <v>26.94</v>
      </c>
      <c r="G135" s="92">
        <v>58.9</v>
      </c>
      <c r="H135" s="93">
        <v>24.5</v>
      </c>
      <c r="I135" s="93">
        <f t="shared" si="4"/>
        <v>6.37</v>
      </c>
      <c r="J135" s="92">
        <f t="shared" si="5"/>
        <v>5.79</v>
      </c>
      <c r="K135" s="58">
        <v>192</v>
      </c>
      <c r="L135" s="58">
        <v>770</v>
      </c>
      <c r="M135" s="58">
        <v>38</v>
      </c>
      <c r="N135" s="101">
        <v>0.95</v>
      </c>
      <c r="O135" s="33">
        <v>53</v>
      </c>
      <c r="P135" s="105">
        <v>1.2500000000000001E-2</v>
      </c>
      <c r="Q135" s="113">
        <v>0.01</v>
      </c>
      <c r="R135" s="105">
        <v>0</v>
      </c>
      <c r="S135" s="109">
        <v>41.87</v>
      </c>
      <c r="T135" s="109">
        <v>7.35</v>
      </c>
      <c r="U135" s="109">
        <v>910.85</v>
      </c>
      <c r="V135" s="43">
        <v>1.1161000000000001</v>
      </c>
      <c r="W135" s="44">
        <v>1.5599999999999999E-2</v>
      </c>
    </row>
    <row r="136" spans="1:23" x14ac:dyDescent="0.25">
      <c r="A136" s="80">
        <v>1</v>
      </c>
      <c r="B136" s="81" t="s">
        <v>15</v>
      </c>
      <c r="C136" s="82" t="s">
        <v>174</v>
      </c>
      <c r="D136" s="51">
        <v>0</v>
      </c>
      <c r="E136" s="92">
        <v>57.34</v>
      </c>
      <c r="F136" s="92">
        <v>26.94</v>
      </c>
      <c r="G136" s="92">
        <v>58.86</v>
      </c>
      <c r="H136" s="93">
        <v>24.5</v>
      </c>
      <c r="I136" s="93">
        <f t="shared" si="4"/>
        <v>6.2</v>
      </c>
      <c r="J136" s="92">
        <f t="shared" si="5"/>
        <v>5.64</v>
      </c>
      <c r="K136" s="58">
        <v>192</v>
      </c>
      <c r="L136" s="58">
        <v>770</v>
      </c>
      <c r="M136" s="58">
        <v>38</v>
      </c>
      <c r="N136" s="101">
        <v>0.95</v>
      </c>
      <c r="O136" s="33">
        <v>53</v>
      </c>
      <c r="P136" s="105">
        <v>1.0699999999999999E-2</v>
      </c>
      <c r="Q136" s="113">
        <v>0.01</v>
      </c>
      <c r="R136" s="105">
        <v>0</v>
      </c>
      <c r="S136" s="109">
        <v>41.87</v>
      </c>
      <c r="T136" s="109">
        <v>7.35</v>
      </c>
      <c r="U136" s="109">
        <v>910.85</v>
      </c>
      <c r="V136" s="43">
        <v>1.1161000000000001</v>
      </c>
      <c r="W136" s="44">
        <v>1.5599999999999999E-2</v>
      </c>
    </row>
    <row r="137" spans="1:23" x14ac:dyDescent="0.25">
      <c r="A137" s="80">
        <v>1</v>
      </c>
      <c r="B137" s="81" t="s">
        <v>15</v>
      </c>
      <c r="C137" s="82" t="s">
        <v>175</v>
      </c>
      <c r="D137" s="51">
        <v>0</v>
      </c>
      <c r="E137" s="92">
        <v>57.34</v>
      </c>
      <c r="F137" s="92">
        <v>26.94</v>
      </c>
      <c r="G137" s="92">
        <v>58.82</v>
      </c>
      <c r="H137" s="93">
        <v>24.5</v>
      </c>
      <c r="I137" s="93">
        <f t="shared" si="4"/>
        <v>6.04</v>
      </c>
      <c r="J137" s="92">
        <f t="shared" si="5"/>
        <v>5.49</v>
      </c>
      <c r="K137" s="58">
        <v>192</v>
      </c>
      <c r="L137" s="58">
        <v>770</v>
      </c>
      <c r="M137" s="58">
        <v>38</v>
      </c>
      <c r="N137" s="101">
        <v>0.95</v>
      </c>
      <c r="O137" s="33">
        <v>53</v>
      </c>
      <c r="P137" s="105">
        <v>1.18E-2</v>
      </c>
      <c r="Q137" s="113">
        <v>0.01</v>
      </c>
      <c r="R137" s="105">
        <v>0</v>
      </c>
      <c r="S137" s="109">
        <v>41.87</v>
      </c>
      <c r="T137" s="109">
        <v>7.35</v>
      </c>
      <c r="U137" s="109">
        <v>910.85</v>
      </c>
      <c r="V137" s="43">
        <v>1.1161000000000001</v>
      </c>
      <c r="W137" s="44">
        <v>1.5599999999999999E-2</v>
      </c>
    </row>
    <row r="138" spans="1:23" x14ac:dyDescent="0.25">
      <c r="A138" s="80">
        <v>1</v>
      </c>
      <c r="B138" s="81" t="s">
        <v>15</v>
      </c>
      <c r="C138" s="82" t="s">
        <v>176</v>
      </c>
      <c r="D138" s="51">
        <v>0</v>
      </c>
      <c r="E138" s="92">
        <v>57.34</v>
      </c>
      <c r="F138" s="92">
        <v>26.94</v>
      </c>
      <c r="G138" s="92">
        <v>58.78</v>
      </c>
      <c r="H138" s="93">
        <v>24.5</v>
      </c>
      <c r="I138" s="93">
        <f t="shared" si="4"/>
        <v>5.88</v>
      </c>
      <c r="J138" s="92">
        <f t="shared" si="5"/>
        <v>5.35</v>
      </c>
      <c r="K138" s="58">
        <v>192</v>
      </c>
      <c r="L138" s="58">
        <v>770</v>
      </c>
      <c r="M138" s="58">
        <v>38</v>
      </c>
      <c r="N138" s="101">
        <v>0.95</v>
      </c>
      <c r="O138" s="33">
        <v>53</v>
      </c>
      <c r="P138" s="105">
        <v>1.0699999999999999E-2</v>
      </c>
      <c r="Q138" s="113">
        <v>0.01</v>
      </c>
      <c r="R138" s="105">
        <v>0</v>
      </c>
      <c r="S138" s="109">
        <v>41.87</v>
      </c>
      <c r="T138" s="109">
        <v>7.35</v>
      </c>
      <c r="U138" s="109">
        <v>910.85</v>
      </c>
      <c r="V138" s="43">
        <v>1.1161000000000001</v>
      </c>
      <c r="W138" s="44">
        <v>1.5599999999999999E-2</v>
      </c>
    </row>
    <row r="139" spans="1:23" x14ac:dyDescent="0.25">
      <c r="A139" s="80">
        <v>1</v>
      </c>
      <c r="B139" s="81" t="s">
        <v>15</v>
      </c>
      <c r="C139" s="82" t="s">
        <v>177</v>
      </c>
      <c r="D139" s="51">
        <v>0</v>
      </c>
      <c r="E139" s="92">
        <v>57.34</v>
      </c>
      <c r="F139" s="92">
        <v>26.94</v>
      </c>
      <c r="G139" s="92">
        <v>58.75</v>
      </c>
      <c r="H139" s="93">
        <v>24.5</v>
      </c>
      <c r="I139" s="93">
        <f t="shared" si="4"/>
        <v>5.76</v>
      </c>
      <c r="J139" s="92">
        <f t="shared" si="5"/>
        <v>5.23</v>
      </c>
      <c r="K139" s="58">
        <v>192</v>
      </c>
      <c r="L139" s="58">
        <v>770</v>
      </c>
      <c r="M139" s="58">
        <v>38</v>
      </c>
      <c r="N139" s="101">
        <v>0.95</v>
      </c>
      <c r="O139" s="33">
        <v>53</v>
      </c>
      <c r="P139" s="105">
        <v>8.8000000000000005E-3</v>
      </c>
      <c r="Q139" s="113">
        <v>0.01</v>
      </c>
      <c r="R139" s="105">
        <v>0</v>
      </c>
      <c r="S139" s="109">
        <v>41.87</v>
      </c>
      <c r="T139" s="109">
        <v>7.35</v>
      </c>
      <c r="U139" s="109">
        <v>910.85</v>
      </c>
      <c r="V139" s="43">
        <v>1.1161000000000001</v>
      </c>
      <c r="W139" s="44">
        <v>1.5599999999999999E-2</v>
      </c>
    </row>
    <row r="140" spans="1:23" x14ac:dyDescent="0.25">
      <c r="A140" s="80">
        <v>1</v>
      </c>
      <c r="B140" s="81" t="s">
        <v>15</v>
      </c>
      <c r="C140" s="82" t="s">
        <v>178</v>
      </c>
      <c r="D140" s="51">
        <v>0</v>
      </c>
      <c r="E140" s="92">
        <v>57.34</v>
      </c>
      <c r="F140" s="92">
        <v>26.94</v>
      </c>
      <c r="G140" s="92">
        <v>58.71</v>
      </c>
      <c r="H140" s="93">
        <v>24.5</v>
      </c>
      <c r="I140" s="93">
        <f t="shared" si="4"/>
        <v>5.59</v>
      </c>
      <c r="J140" s="92">
        <f t="shared" si="5"/>
        <v>5.09</v>
      </c>
      <c r="K140" s="58">
        <v>192</v>
      </c>
      <c r="L140" s="58">
        <v>770</v>
      </c>
      <c r="M140" s="58">
        <v>38</v>
      </c>
      <c r="N140" s="101">
        <v>0.95</v>
      </c>
      <c r="O140" s="33">
        <v>53</v>
      </c>
      <c r="P140" s="105">
        <v>1.09E-2</v>
      </c>
      <c r="Q140" s="113">
        <v>0.01</v>
      </c>
      <c r="R140" s="105">
        <v>0</v>
      </c>
      <c r="S140" s="109">
        <v>41.87</v>
      </c>
      <c r="T140" s="109">
        <v>7.35</v>
      </c>
      <c r="U140" s="109">
        <v>910.85</v>
      </c>
      <c r="V140" s="43">
        <v>1.1161000000000001</v>
      </c>
      <c r="W140" s="44">
        <v>1.5599999999999999E-2</v>
      </c>
    </row>
    <row r="141" spans="1:23" x14ac:dyDescent="0.25">
      <c r="A141" s="80">
        <v>1</v>
      </c>
      <c r="B141" s="81" t="s">
        <v>15</v>
      </c>
      <c r="C141" s="82" t="s">
        <v>179</v>
      </c>
      <c r="D141" s="51">
        <v>0</v>
      </c>
      <c r="E141" s="92">
        <v>57.34</v>
      </c>
      <c r="F141" s="92">
        <v>26.94</v>
      </c>
      <c r="G141" s="92">
        <v>58.67</v>
      </c>
      <c r="H141" s="93">
        <v>24.5</v>
      </c>
      <c r="I141" s="93">
        <f t="shared" si="4"/>
        <v>5.43</v>
      </c>
      <c r="J141" s="92">
        <f t="shared" si="5"/>
        <v>4.9400000000000004</v>
      </c>
      <c r="K141" s="58">
        <v>192</v>
      </c>
      <c r="L141" s="58">
        <v>770</v>
      </c>
      <c r="M141" s="58">
        <v>38</v>
      </c>
      <c r="N141" s="101">
        <v>0.95</v>
      </c>
      <c r="O141" s="33">
        <v>53</v>
      </c>
      <c r="P141" s="105">
        <v>1.23E-2</v>
      </c>
      <c r="Q141" s="113">
        <v>0.01</v>
      </c>
      <c r="R141" s="105">
        <v>0</v>
      </c>
      <c r="S141" s="109">
        <v>41.87</v>
      </c>
      <c r="T141" s="109">
        <v>7.35</v>
      </c>
      <c r="U141" s="109">
        <v>910.85</v>
      </c>
      <c r="V141" s="43">
        <v>1.1161000000000001</v>
      </c>
      <c r="W141" s="44">
        <v>1.5599999999999999E-2</v>
      </c>
    </row>
    <row r="142" spans="1:23" x14ac:dyDescent="0.25">
      <c r="A142" s="80">
        <v>1</v>
      </c>
      <c r="B142" s="81" t="s">
        <v>15</v>
      </c>
      <c r="C142" s="82" t="s">
        <v>180</v>
      </c>
      <c r="D142" s="51">
        <v>0</v>
      </c>
      <c r="E142" s="92">
        <v>57.34</v>
      </c>
      <c r="F142" s="92">
        <v>26.94</v>
      </c>
      <c r="G142" s="92">
        <v>58.63</v>
      </c>
      <c r="H142" s="93">
        <v>24.5</v>
      </c>
      <c r="I142" s="93">
        <f t="shared" si="4"/>
        <v>5.27</v>
      </c>
      <c r="J142" s="92">
        <f t="shared" si="5"/>
        <v>4.79</v>
      </c>
      <c r="K142" s="58">
        <v>192</v>
      </c>
      <c r="L142" s="58">
        <v>770</v>
      </c>
      <c r="M142" s="58">
        <v>38</v>
      </c>
      <c r="N142" s="101">
        <v>0.95</v>
      </c>
      <c r="O142" s="33">
        <v>53</v>
      </c>
      <c r="P142" s="105">
        <v>1.24E-2</v>
      </c>
      <c r="Q142" s="113">
        <v>0.01</v>
      </c>
      <c r="R142" s="105">
        <v>0</v>
      </c>
      <c r="S142" s="109">
        <v>41.87</v>
      </c>
      <c r="T142" s="109">
        <v>7.35</v>
      </c>
      <c r="U142" s="109">
        <v>910.85</v>
      </c>
      <c r="V142" s="43">
        <v>1.1161000000000001</v>
      </c>
      <c r="W142" s="44">
        <v>1.5599999999999999E-2</v>
      </c>
    </row>
    <row r="143" spans="1:23" x14ac:dyDescent="0.25">
      <c r="A143" s="80">
        <v>1</v>
      </c>
      <c r="B143" s="81" t="s">
        <v>15</v>
      </c>
      <c r="C143" s="82" t="s">
        <v>181</v>
      </c>
      <c r="D143" s="51">
        <v>0</v>
      </c>
      <c r="E143" s="92">
        <v>57.34</v>
      </c>
      <c r="F143" s="92">
        <v>26.94</v>
      </c>
      <c r="G143" s="92">
        <v>58.59</v>
      </c>
      <c r="H143" s="93">
        <v>24.5</v>
      </c>
      <c r="I143" s="93">
        <f t="shared" si="4"/>
        <v>5.0999999999999996</v>
      </c>
      <c r="J143" s="92">
        <f t="shared" si="5"/>
        <v>4.6399999999999997</v>
      </c>
      <c r="K143" s="58">
        <v>192</v>
      </c>
      <c r="L143" s="58">
        <v>770</v>
      </c>
      <c r="M143" s="58">
        <v>38</v>
      </c>
      <c r="N143" s="101">
        <v>0.95</v>
      </c>
      <c r="O143" s="33">
        <v>53</v>
      </c>
      <c r="P143" s="105">
        <v>9.4999999999999998E-3</v>
      </c>
      <c r="Q143" s="113">
        <v>0.01</v>
      </c>
      <c r="R143" s="105">
        <v>0</v>
      </c>
      <c r="S143" s="109">
        <v>41.87</v>
      </c>
      <c r="T143" s="109">
        <v>7.35</v>
      </c>
      <c r="U143" s="109">
        <v>910.85</v>
      </c>
      <c r="V143" s="43">
        <v>1.1161000000000001</v>
      </c>
      <c r="W143" s="44">
        <v>1.5599999999999999E-2</v>
      </c>
    </row>
    <row r="144" spans="1:23" x14ac:dyDescent="0.25">
      <c r="A144" s="80">
        <v>1</v>
      </c>
      <c r="B144" s="81" t="s">
        <v>15</v>
      </c>
      <c r="C144" s="82" t="s">
        <v>182</v>
      </c>
      <c r="D144" s="51">
        <v>0</v>
      </c>
      <c r="E144" s="92">
        <v>57.34</v>
      </c>
      <c r="F144" s="92">
        <v>26.94</v>
      </c>
      <c r="G144" s="92">
        <v>58.56</v>
      </c>
      <c r="H144" s="93">
        <v>24.5</v>
      </c>
      <c r="I144" s="93">
        <f t="shared" si="4"/>
        <v>4.9800000000000004</v>
      </c>
      <c r="J144" s="92">
        <f t="shared" si="5"/>
        <v>4.53</v>
      </c>
      <c r="K144" s="58">
        <v>192</v>
      </c>
      <c r="L144" s="58">
        <v>770</v>
      </c>
      <c r="M144" s="58">
        <v>38</v>
      </c>
      <c r="N144" s="101">
        <v>0.95</v>
      </c>
      <c r="O144" s="33">
        <v>53</v>
      </c>
      <c r="P144" s="105">
        <v>8.8999999999999999E-3</v>
      </c>
      <c r="Q144" s="113">
        <v>0.01</v>
      </c>
      <c r="R144" s="105">
        <v>0</v>
      </c>
      <c r="S144" s="109">
        <v>41.87</v>
      </c>
      <c r="T144" s="109">
        <v>7.35</v>
      </c>
      <c r="U144" s="109">
        <v>910.85</v>
      </c>
      <c r="V144" s="43">
        <v>1.1161000000000001</v>
      </c>
      <c r="W144" s="44">
        <v>1.5599999999999999E-2</v>
      </c>
    </row>
    <row r="145" spans="1:23" x14ac:dyDescent="0.25">
      <c r="A145" s="80">
        <v>1</v>
      </c>
      <c r="B145" s="81" t="s">
        <v>15</v>
      </c>
      <c r="C145" s="82" t="s">
        <v>183</v>
      </c>
      <c r="D145" s="51">
        <v>0</v>
      </c>
      <c r="E145" s="92">
        <v>57.34</v>
      </c>
      <c r="F145" s="92">
        <v>26.94</v>
      </c>
      <c r="G145" s="92">
        <v>58.53</v>
      </c>
      <c r="H145" s="93">
        <v>24.5</v>
      </c>
      <c r="I145" s="93">
        <f t="shared" si="4"/>
        <v>4.8600000000000003</v>
      </c>
      <c r="J145" s="92">
        <f t="shared" si="5"/>
        <v>4.42</v>
      </c>
      <c r="K145" s="58">
        <v>192</v>
      </c>
      <c r="L145" s="58">
        <v>770</v>
      </c>
      <c r="M145" s="58">
        <v>38</v>
      </c>
      <c r="N145" s="101">
        <v>0.95</v>
      </c>
      <c r="O145" s="33">
        <v>53</v>
      </c>
      <c r="P145" s="105">
        <v>1.7000000000000001E-2</v>
      </c>
      <c r="Q145" s="113">
        <v>0.01</v>
      </c>
      <c r="R145" s="105">
        <v>0</v>
      </c>
      <c r="S145" s="109">
        <v>41.87</v>
      </c>
      <c r="T145" s="109">
        <v>7.35</v>
      </c>
      <c r="U145" s="109">
        <v>910.85</v>
      </c>
      <c r="V145" s="43">
        <v>1.1161000000000001</v>
      </c>
      <c r="W145" s="44">
        <v>1.5599999999999999E-2</v>
      </c>
    </row>
    <row r="146" spans="1:23" x14ac:dyDescent="0.25">
      <c r="A146" s="80">
        <v>1</v>
      </c>
      <c r="B146" s="81" t="s">
        <v>15</v>
      </c>
      <c r="C146" s="82" t="s">
        <v>184</v>
      </c>
      <c r="D146" s="51">
        <v>0</v>
      </c>
      <c r="E146" s="92">
        <v>57.34</v>
      </c>
      <c r="F146" s="92">
        <v>26.94</v>
      </c>
      <c r="G146" s="92">
        <v>58.5</v>
      </c>
      <c r="H146" s="93">
        <v>24.5</v>
      </c>
      <c r="I146" s="93">
        <f t="shared" si="4"/>
        <v>4.7300000000000004</v>
      </c>
      <c r="J146" s="92">
        <f t="shared" si="5"/>
        <v>4.3099999999999996</v>
      </c>
      <c r="K146" s="58">
        <v>192</v>
      </c>
      <c r="L146" s="58">
        <v>770</v>
      </c>
      <c r="M146" s="58">
        <v>38</v>
      </c>
      <c r="N146" s="101">
        <v>0.95</v>
      </c>
      <c r="O146" s="33">
        <v>53</v>
      </c>
      <c r="P146" s="105">
        <v>2.1700000000000001E-2</v>
      </c>
      <c r="Q146" s="113">
        <v>0.01</v>
      </c>
      <c r="R146" s="105">
        <v>0</v>
      </c>
      <c r="S146" s="109">
        <v>41.87</v>
      </c>
      <c r="T146" s="109">
        <v>7.35</v>
      </c>
      <c r="U146" s="109">
        <v>910.85</v>
      </c>
      <c r="V146" s="43">
        <v>1.1161000000000001</v>
      </c>
      <c r="W146" s="44">
        <v>1.5599999999999999E-2</v>
      </c>
    </row>
    <row r="147" spans="1:23" x14ac:dyDescent="0.25">
      <c r="A147" s="80">
        <v>1</v>
      </c>
      <c r="B147" s="81" t="s">
        <v>15</v>
      </c>
      <c r="C147" s="82" t="s">
        <v>185</v>
      </c>
      <c r="D147" s="51">
        <v>0</v>
      </c>
      <c r="E147" s="92">
        <v>57.34</v>
      </c>
      <c r="F147" s="92">
        <v>26.94</v>
      </c>
      <c r="G147" s="92">
        <v>58.46</v>
      </c>
      <c r="H147" s="93">
        <v>24.5</v>
      </c>
      <c r="I147" s="93">
        <f t="shared" si="4"/>
        <v>4.57</v>
      </c>
      <c r="J147" s="92">
        <f t="shared" si="5"/>
        <v>4.16</v>
      </c>
      <c r="K147" s="58">
        <v>192</v>
      </c>
      <c r="L147" s="58">
        <v>770</v>
      </c>
      <c r="M147" s="58">
        <v>38</v>
      </c>
      <c r="N147" s="101">
        <v>0.95</v>
      </c>
      <c r="O147" s="33">
        <v>53</v>
      </c>
      <c r="P147" s="105">
        <v>2.0299999999999999E-2</v>
      </c>
      <c r="Q147" s="113">
        <v>0.01</v>
      </c>
      <c r="R147" s="105">
        <v>0</v>
      </c>
      <c r="S147" s="109">
        <v>41.87</v>
      </c>
      <c r="T147" s="109">
        <v>7.35</v>
      </c>
      <c r="U147" s="109">
        <v>910.85</v>
      </c>
      <c r="V147" s="43">
        <v>1.1161000000000001</v>
      </c>
      <c r="W147" s="44">
        <v>1.5599999999999999E-2</v>
      </c>
    </row>
    <row r="148" spans="1:23" x14ac:dyDescent="0.25">
      <c r="A148" s="80">
        <v>1</v>
      </c>
      <c r="B148" s="81" t="s">
        <v>15</v>
      </c>
      <c r="C148" s="82" t="s">
        <v>186</v>
      </c>
      <c r="D148" s="51">
        <v>0</v>
      </c>
      <c r="E148" s="92">
        <v>57.34</v>
      </c>
      <c r="F148" s="92">
        <v>26.94</v>
      </c>
      <c r="G148" s="92">
        <v>58.43</v>
      </c>
      <c r="H148" s="93">
        <v>24.5</v>
      </c>
      <c r="I148" s="93">
        <f t="shared" si="4"/>
        <v>4.45</v>
      </c>
      <c r="J148" s="92">
        <f t="shared" si="5"/>
        <v>4.05</v>
      </c>
      <c r="K148" s="58">
        <v>192</v>
      </c>
      <c r="L148" s="58">
        <v>770</v>
      </c>
      <c r="M148" s="58">
        <v>38</v>
      </c>
      <c r="N148" s="101">
        <v>0.95</v>
      </c>
      <c r="O148" s="33">
        <v>53</v>
      </c>
      <c r="P148" s="105">
        <v>1.3899999999999999E-2</v>
      </c>
      <c r="Q148" s="113">
        <v>0.01</v>
      </c>
      <c r="R148" s="105">
        <v>0</v>
      </c>
      <c r="S148" s="109">
        <v>41.87</v>
      </c>
      <c r="T148" s="109">
        <v>7.35</v>
      </c>
      <c r="U148" s="109">
        <v>910.85</v>
      </c>
      <c r="V148" s="43">
        <v>1.1161000000000001</v>
      </c>
      <c r="W148" s="44">
        <v>1.5599999999999999E-2</v>
      </c>
    </row>
    <row r="149" spans="1:23" x14ac:dyDescent="0.25">
      <c r="A149" s="80">
        <v>1</v>
      </c>
      <c r="B149" s="81" t="s">
        <v>15</v>
      </c>
      <c r="C149" s="82" t="s">
        <v>187</v>
      </c>
      <c r="D149" s="51">
        <v>0</v>
      </c>
      <c r="E149" s="92">
        <v>57.34</v>
      </c>
      <c r="F149" s="92">
        <v>26.94</v>
      </c>
      <c r="G149" s="92">
        <v>58.4</v>
      </c>
      <c r="H149" s="93">
        <v>24.5</v>
      </c>
      <c r="I149" s="93">
        <f t="shared" si="4"/>
        <v>4.33</v>
      </c>
      <c r="J149" s="92">
        <f t="shared" si="5"/>
        <v>3.93</v>
      </c>
      <c r="K149" s="58">
        <v>192</v>
      </c>
      <c r="L149" s="58">
        <v>770</v>
      </c>
      <c r="M149" s="58">
        <v>38</v>
      </c>
      <c r="N149" s="101">
        <v>0.95</v>
      </c>
      <c r="O149" s="33">
        <v>53</v>
      </c>
      <c r="P149" s="105">
        <v>1.26E-2</v>
      </c>
      <c r="Q149" s="113">
        <v>0.01</v>
      </c>
      <c r="R149" s="105">
        <v>0</v>
      </c>
      <c r="S149" s="109">
        <v>41.87</v>
      </c>
      <c r="T149" s="109">
        <v>7.35</v>
      </c>
      <c r="U149" s="109">
        <v>910.85</v>
      </c>
      <c r="V149" s="43">
        <v>1.1161000000000001</v>
      </c>
      <c r="W149" s="44">
        <v>1.5599999999999999E-2</v>
      </c>
    </row>
    <row r="150" spans="1:23" x14ac:dyDescent="0.25">
      <c r="A150" s="80">
        <v>1</v>
      </c>
      <c r="B150" s="81" t="s">
        <v>15</v>
      </c>
      <c r="C150" s="82" t="s">
        <v>188</v>
      </c>
      <c r="D150" s="51">
        <v>0</v>
      </c>
      <c r="E150" s="92">
        <v>57.34</v>
      </c>
      <c r="F150" s="92">
        <v>26.94</v>
      </c>
      <c r="G150" s="92">
        <v>58.37</v>
      </c>
      <c r="H150" s="93">
        <v>24.5</v>
      </c>
      <c r="I150" s="93">
        <f t="shared" si="4"/>
        <v>4.2</v>
      </c>
      <c r="J150" s="92">
        <f t="shared" si="5"/>
        <v>3.82</v>
      </c>
      <c r="K150" s="58">
        <v>192</v>
      </c>
      <c r="L150" s="58">
        <v>770</v>
      </c>
      <c r="M150" s="58">
        <v>38</v>
      </c>
      <c r="N150" s="101">
        <v>0.95</v>
      </c>
      <c r="O150" s="33">
        <v>53</v>
      </c>
      <c r="P150" s="105">
        <v>1.43E-2</v>
      </c>
      <c r="Q150" s="113">
        <v>0.01</v>
      </c>
      <c r="R150" s="105">
        <v>0</v>
      </c>
      <c r="S150" s="109">
        <v>41.87</v>
      </c>
      <c r="T150" s="109">
        <v>7.35</v>
      </c>
      <c r="U150" s="109">
        <v>910.85</v>
      </c>
      <c r="V150" s="43">
        <v>1.1161000000000001</v>
      </c>
      <c r="W150" s="44">
        <v>1.5599999999999999E-2</v>
      </c>
    </row>
    <row r="151" spans="1:23" x14ac:dyDescent="0.25">
      <c r="A151" s="80">
        <v>1</v>
      </c>
      <c r="B151" s="81" t="s">
        <v>15</v>
      </c>
      <c r="C151" s="82" t="s">
        <v>189</v>
      </c>
      <c r="D151" s="51">
        <v>0</v>
      </c>
      <c r="E151" s="92">
        <v>57.34</v>
      </c>
      <c r="F151" s="92">
        <v>26.94</v>
      </c>
      <c r="G151" s="92">
        <v>58.34</v>
      </c>
      <c r="H151" s="93">
        <v>24.5</v>
      </c>
      <c r="I151" s="93">
        <f t="shared" si="4"/>
        <v>4.08</v>
      </c>
      <c r="J151" s="92">
        <f t="shared" si="5"/>
        <v>3.71</v>
      </c>
      <c r="K151" s="58">
        <v>192</v>
      </c>
      <c r="L151" s="58">
        <v>770</v>
      </c>
      <c r="M151" s="58">
        <v>38</v>
      </c>
      <c r="N151" s="101">
        <v>0.95</v>
      </c>
      <c r="O151" s="33">
        <v>53</v>
      </c>
      <c r="P151" s="105">
        <v>5.1999999999999998E-3</v>
      </c>
      <c r="Q151" s="113">
        <v>0.01</v>
      </c>
      <c r="R151" s="105">
        <v>0</v>
      </c>
      <c r="S151" s="109">
        <v>41.87</v>
      </c>
      <c r="T151" s="109">
        <v>7.35</v>
      </c>
      <c r="U151" s="109">
        <v>910.85</v>
      </c>
      <c r="V151" s="43">
        <v>1.1161000000000001</v>
      </c>
      <c r="W151" s="44">
        <v>1.5599999999999999E-2</v>
      </c>
    </row>
    <row r="152" spans="1:23" x14ac:dyDescent="0.25">
      <c r="A152" s="80">
        <v>1</v>
      </c>
      <c r="B152" s="81" t="s">
        <v>15</v>
      </c>
      <c r="C152" s="82" t="s">
        <v>190</v>
      </c>
      <c r="D152" s="51">
        <v>0</v>
      </c>
      <c r="E152" s="92">
        <v>57.34</v>
      </c>
      <c r="F152" s="92">
        <v>26.94</v>
      </c>
      <c r="G152" s="92">
        <v>58.31</v>
      </c>
      <c r="H152" s="93">
        <v>24.5</v>
      </c>
      <c r="I152" s="93">
        <f t="shared" si="4"/>
        <v>3.96</v>
      </c>
      <c r="J152" s="92">
        <f t="shared" si="5"/>
        <v>3.6</v>
      </c>
      <c r="K152" s="58">
        <v>192</v>
      </c>
      <c r="L152" s="58">
        <v>770</v>
      </c>
      <c r="M152" s="58">
        <v>38</v>
      </c>
      <c r="N152" s="101">
        <v>0.95</v>
      </c>
      <c r="O152" s="33">
        <v>53</v>
      </c>
      <c r="P152" s="105">
        <v>1.9800000000000002E-2</v>
      </c>
      <c r="Q152" s="113">
        <v>0.01</v>
      </c>
      <c r="R152" s="105">
        <v>0</v>
      </c>
      <c r="S152" s="109">
        <v>41.87</v>
      </c>
      <c r="T152" s="109">
        <v>7.35</v>
      </c>
      <c r="U152" s="109">
        <v>910.85</v>
      </c>
      <c r="V152" s="43">
        <v>1.1161000000000001</v>
      </c>
      <c r="W152" s="44">
        <v>1.5599999999999999E-2</v>
      </c>
    </row>
    <row r="153" spans="1:23" x14ac:dyDescent="0.25">
      <c r="A153" s="80">
        <v>1</v>
      </c>
      <c r="B153" s="81" t="s">
        <v>15</v>
      </c>
      <c r="C153" s="82" t="s">
        <v>191</v>
      </c>
      <c r="D153" s="51">
        <v>0</v>
      </c>
      <c r="E153" s="92">
        <v>57.34</v>
      </c>
      <c r="F153" s="92">
        <v>26.94</v>
      </c>
      <c r="G153" s="92">
        <v>58.27</v>
      </c>
      <c r="H153" s="93">
        <v>24.5</v>
      </c>
      <c r="I153" s="93">
        <f t="shared" si="4"/>
        <v>3.8</v>
      </c>
      <c r="J153" s="92">
        <f t="shared" si="5"/>
        <v>3.45</v>
      </c>
      <c r="K153" s="58">
        <v>192</v>
      </c>
      <c r="L153" s="58">
        <v>770</v>
      </c>
      <c r="M153" s="58">
        <v>38</v>
      </c>
      <c r="N153" s="101">
        <v>0.95</v>
      </c>
      <c r="O153" s="33">
        <v>53</v>
      </c>
      <c r="P153" s="105">
        <v>1.38E-2</v>
      </c>
      <c r="Q153" s="113">
        <v>0.01</v>
      </c>
      <c r="R153" s="105">
        <v>0</v>
      </c>
      <c r="S153" s="109">
        <v>41.87</v>
      </c>
      <c r="T153" s="109">
        <v>7.35</v>
      </c>
      <c r="U153" s="109">
        <v>910.85</v>
      </c>
      <c r="V153" s="43">
        <v>1.1161000000000001</v>
      </c>
      <c r="W153" s="44">
        <v>1.5599999999999999E-2</v>
      </c>
    </row>
    <row r="154" spans="1:23" x14ac:dyDescent="0.25">
      <c r="A154" s="80">
        <v>1</v>
      </c>
      <c r="B154" s="81" t="s">
        <v>15</v>
      </c>
      <c r="C154" s="82" t="s">
        <v>192</v>
      </c>
      <c r="D154" s="51">
        <v>0</v>
      </c>
      <c r="E154" s="92">
        <v>57.34</v>
      </c>
      <c r="F154" s="92">
        <v>26.94</v>
      </c>
      <c r="G154" s="92">
        <v>58.24</v>
      </c>
      <c r="H154" s="93">
        <v>24.5</v>
      </c>
      <c r="I154" s="93">
        <f t="shared" si="4"/>
        <v>3.67</v>
      </c>
      <c r="J154" s="92">
        <f t="shared" si="5"/>
        <v>3.34</v>
      </c>
      <c r="K154" s="58">
        <v>192</v>
      </c>
      <c r="L154" s="58">
        <v>770</v>
      </c>
      <c r="M154" s="58">
        <v>38</v>
      </c>
      <c r="N154" s="101">
        <v>0.95</v>
      </c>
      <c r="O154" s="33">
        <v>53</v>
      </c>
      <c r="P154" s="105">
        <v>1.26E-2</v>
      </c>
      <c r="Q154" s="113">
        <v>0.01</v>
      </c>
      <c r="R154" s="105">
        <v>0</v>
      </c>
      <c r="S154" s="109">
        <v>41.87</v>
      </c>
      <c r="T154" s="109">
        <v>7.35</v>
      </c>
      <c r="U154" s="109">
        <v>910.85</v>
      </c>
      <c r="V154" s="43">
        <v>1.1161000000000001</v>
      </c>
      <c r="W154" s="44">
        <v>1.5599999999999999E-2</v>
      </c>
    </row>
    <row r="155" spans="1:23" x14ac:dyDescent="0.25">
      <c r="A155" s="80">
        <v>1</v>
      </c>
      <c r="B155" s="81" t="s">
        <v>15</v>
      </c>
      <c r="C155" s="82" t="s">
        <v>193</v>
      </c>
      <c r="D155" s="51">
        <v>0</v>
      </c>
      <c r="E155" s="92">
        <v>57.34</v>
      </c>
      <c r="F155" s="92">
        <v>26.94</v>
      </c>
      <c r="G155" s="92">
        <v>58.21</v>
      </c>
      <c r="H155" s="93">
        <v>24.5</v>
      </c>
      <c r="I155" s="93">
        <f t="shared" si="4"/>
        <v>3.55</v>
      </c>
      <c r="J155" s="92">
        <f t="shared" si="5"/>
        <v>3.23</v>
      </c>
      <c r="K155" s="58">
        <v>192</v>
      </c>
      <c r="L155" s="58">
        <v>770</v>
      </c>
      <c r="M155" s="58">
        <v>38</v>
      </c>
      <c r="N155" s="101">
        <v>0.95</v>
      </c>
      <c r="O155" s="33">
        <v>53</v>
      </c>
      <c r="P155" s="105">
        <v>4.4999999999999997E-3</v>
      </c>
      <c r="Q155" s="113">
        <v>0.01</v>
      </c>
      <c r="R155" s="105">
        <v>0</v>
      </c>
      <c r="S155" s="109">
        <v>41.87</v>
      </c>
      <c r="T155" s="109">
        <v>7.35</v>
      </c>
      <c r="U155" s="109">
        <v>910.85</v>
      </c>
      <c r="V155" s="43">
        <v>1.1161000000000001</v>
      </c>
      <c r="W155" s="44">
        <v>1.5599999999999999E-2</v>
      </c>
    </row>
    <row r="156" spans="1:23" x14ac:dyDescent="0.25">
      <c r="A156" s="80">
        <v>1</v>
      </c>
      <c r="B156" s="81" t="s">
        <v>15</v>
      </c>
      <c r="C156" s="82" t="s">
        <v>194</v>
      </c>
      <c r="D156" s="51">
        <v>0</v>
      </c>
      <c r="E156" s="92">
        <v>57.34</v>
      </c>
      <c r="F156" s="92">
        <v>26.94</v>
      </c>
      <c r="G156" s="92">
        <v>58.19</v>
      </c>
      <c r="H156" s="93">
        <v>24.5</v>
      </c>
      <c r="I156" s="93">
        <f t="shared" si="4"/>
        <v>3.47</v>
      </c>
      <c r="J156" s="92">
        <f t="shared" si="5"/>
        <v>3.16</v>
      </c>
      <c r="K156" s="58">
        <v>192</v>
      </c>
      <c r="L156" s="58">
        <v>770</v>
      </c>
      <c r="M156" s="58">
        <v>38</v>
      </c>
      <c r="N156" s="101">
        <v>0.95</v>
      </c>
      <c r="O156" s="33">
        <v>53</v>
      </c>
      <c r="P156" s="105">
        <v>2.76E-2</v>
      </c>
      <c r="Q156" s="113">
        <v>0</v>
      </c>
      <c r="R156" s="105">
        <v>0</v>
      </c>
      <c r="S156" s="109">
        <v>41.87</v>
      </c>
      <c r="T156" s="109">
        <v>7.35</v>
      </c>
      <c r="U156" s="109">
        <v>910.85</v>
      </c>
      <c r="V156" s="43">
        <v>1.1161000000000001</v>
      </c>
      <c r="W156" s="44">
        <v>1.5599999999999999E-2</v>
      </c>
    </row>
    <row r="157" spans="1:23" x14ac:dyDescent="0.25">
      <c r="A157" s="80">
        <v>1</v>
      </c>
      <c r="B157" s="81" t="s">
        <v>15</v>
      </c>
      <c r="C157" s="82" t="s">
        <v>195</v>
      </c>
      <c r="D157" s="51">
        <v>0</v>
      </c>
      <c r="E157" s="92">
        <v>57.34</v>
      </c>
      <c r="F157" s="92">
        <v>26.94</v>
      </c>
      <c r="G157" s="92">
        <v>58.15</v>
      </c>
      <c r="H157" s="93">
        <v>24.5</v>
      </c>
      <c r="I157" s="93">
        <f t="shared" si="4"/>
        <v>3.31</v>
      </c>
      <c r="J157" s="92">
        <f t="shared" si="5"/>
        <v>3.01</v>
      </c>
      <c r="K157" s="58">
        <v>192</v>
      </c>
      <c r="L157" s="58">
        <v>770</v>
      </c>
      <c r="M157" s="58">
        <v>38</v>
      </c>
      <c r="N157" s="101">
        <v>0.95</v>
      </c>
      <c r="O157" s="33">
        <v>53</v>
      </c>
      <c r="P157" s="105">
        <v>1.2699999999999999E-2</v>
      </c>
      <c r="Q157" s="113">
        <v>0.01</v>
      </c>
      <c r="R157" s="105">
        <v>0</v>
      </c>
      <c r="S157" s="109">
        <v>41.87</v>
      </c>
      <c r="T157" s="109">
        <v>7.35</v>
      </c>
      <c r="U157" s="109">
        <v>910.85</v>
      </c>
      <c r="V157" s="43">
        <v>1.1161000000000001</v>
      </c>
      <c r="W157" s="44">
        <v>1.5599999999999999E-2</v>
      </c>
    </row>
    <row r="158" spans="1:23" x14ac:dyDescent="0.25">
      <c r="A158" s="80">
        <v>1</v>
      </c>
      <c r="B158" s="81" t="s">
        <v>15</v>
      </c>
      <c r="C158" s="82" t="s">
        <v>196</v>
      </c>
      <c r="D158" s="51">
        <v>0</v>
      </c>
      <c r="E158" s="92">
        <v>57.34</v>
      </c>
      <c r="F158" s="92">
        <v>26.94</v>
      </c>
      <c r="G158" s="92">
        <v>58.13</v>
      </c>
      <c r="H158" s="93">
        <v>24.5</v>
      </c>
      <c r="I158" s="93">
        <f t="shared" si="4"/>
        <v>3.22</v>
      </c>
      <c r="J158" s="92">
        <f t="shared" si="5"/>
        <v>2.93</v>
      </c>
      <c r="K158" s="58">
        <v>192</v>
      </c>
      <c r="L158" s="58">
        <v>770</v>
      </c>
      <c r="M158" s="58">
        <v>38</v>
      </c>
      <c r="N158" s="101">
        <v>0.95</v>
      </c>
      <c r="O158" s="33">
        <v>53</v>
      </c>
      <c r="P158" s="105">
        <v>0</v>
      </c>
      <c r="Q158" s="113">
        <v>0</v>
      </c>
      <c r="R158" s="105">
        <v>0</v>
      </c>
      <c r="S158" s="109">
        <v>41.87</v>
      </c>
      <c r="T158" s="109">
        <v>7.35</v>
      </c>
      <c r="U158" s="109">
        <v>910.85</v>
      </c>
      <c r="V158" s="43">
        <v>1.1161000000000001</v>
      </c>
      <c r="W158" s="44">
        <v>1.5599999999999999E-2</v>
      </c>
    </row>
    <row r="159" spans="1:23" x14ac:dyDescent="0.25">
      <c r="A159" s="80">
        <v>1</v>
      </c>
      <c r="B159" s="81" t="s">
        <v>15</v>
      </c>
      <c r="C159" s="82" t="s">
        <v>197</v>
      </c>
      <c r="D159" s="51">
        <v>0</v>
      </c>
      <c r="E159" s="92">
        <v>57.34</v>
      </c>
      <c r="F159" s="92">
        <v>26.94</v>
      </c>
      <c r="G159" s="92">
        <v>58.09</v>
      </c>
      <c r="H159" s="93">
        <v>24.5</v>
      </c>
      <c r="I159" s="93">
        <f t="shared" si="4"/>
        <v>3.06</v>
      </c>
      <c r="J159" s="92">
        <f t="shared" si="5"/>
        <v>2.78</v>
      </c>
      <c r="K159" s="58">
        <v>192</v>
      </c>
      <c r="L159" s="58">
        <v>770</v>
      </c>
      <c r="M159" s="58">
        <v>38</v>
      </c>
      <c r="N159" s="101">
        <v>0.95</v>
      </c>
      <c r="O159" s="33">
        <v>53</v>
      </c>
      <c r="P159" s="105">
        <v>5.4999999999999997E-3</v>
      </c>
      <c r="Q159" s="113">
        <v>0</v>
      </c>
      <c r="R159" s="105">
        <v>0</v>
      </c>
      <c r="S159" s="109">
        <v>41.87</v>
      </c>
      <c r="T159" s="109">
        <v>7.35</v>
      </c>
      <c r="U159" s="109">
        <v>910.85</v>
      </c>
      <c r="V159" s="43">
        <v>1.1161000000000001</v>
      </c>
      <c r="W159" s="44">
        <v>1.5599999999999999E-2</v>
      </c>
    </row>
    <row r="160" spans="1:23" x14ac:dyDescent="0.25">
      <c r="A160" s="80">
        <v>1</v>
      </c>
      <c r="B160" s="81" t="s">
        <v>15</v>
      </c>
      <c r="C160" s="82" t="s">
        <v>198</v>
      </c>
      <c r="D160" s="51">
        <v>0</v>
      </c>
      <c r="E160" s="92">
        <v>57.34</v>
      </c>
      <c r="F160" s="92">
        <v>26.94</v>
      </c>
      <c r="G160" s="92">
        <v>58.07</v>
      </c>
      <c r="H160" s="93">
        <v>24.5</v>
      </c>
      <c r="I160" s="93">
        <f t="shared" si="4"/>
        <v>2.98</v>
      </c>
      <c r="J160" s="92">
        <f t="shared" si="5"/>
        <v>2.71</v>
      </c>
      <c r="K160" s="58">
        <v>192</v>
      </c>
      <c r="L160" s="58">
        <v>770</v>
      </c>
      <c r="M160" s="58">
        <v>38</v>
      </c>
      <c r="N160" s="101">
        <v>0.95</v>
      </c>
      <c r="O160" s="33">
        <v>53</v>
      </c>
      <c r="P160" s="105">
        <v>6.8999999999999999E-3</v>
      </c>
      <c r="Q160" s="113">
        <v>0.01</v>
      </c>
      <c r="R160" s="105">
        <v>0</v>
      </c>
      <c r="S160" s="109">
        <v>41.87</v>
      </c>
      <c r="T160" s="109">
        <v>7.35</v>
      </c>
      <c r="U160" s="109">
        <v>910.85</v>
      </c>
      <c r="V160" s="43">
        <v>1.1161000000000001</v>
      </c>
      <c r="W160" s="44">
        <v>1.5599999999999999E-2</v>
      </c>
    </row>
    <row r="161" spans="1:23" x14ac:dyDescent="0.25">
      <c r="A161" s="80">
        <v>1</v>
      </c>
      <c r="B161" s="81" t="s">
        <v>15</v>
      </c>
      <c r="C161" s="82" t="s">
        <v>199</v>
      </c>
      <c r="D161" s="51">
        <v>0</v>
      </c>
      <c r="E161" s="92">
        <v>57.34</v>
      </c>
      <c r="F161" s="92">
        <v>26.94</v>
      </c>
      <c r="G161" s="92">
        <v>58.04</v>
      </c>
      <c r="H161" s="93">
        <v>24.5</v>
      </c>
      <c r="I161" s="93">
        <f t="shared" si="4"/>
        <v>2.86</v>
      </c>
      <c r="J161" s="92">
        <f t="shared" si="5"/>
        <v>2.6</v>
      </c>
      <c r="K161" s="58">
        <v>192</v>
      </c>
      <c r="L161" s="58">
        <v>770</v>
      </c>
      <c r="M161" s="58">
        <v>38</v>
      </c>
      <c r="N161" s="101">
        <v>0.95</v>
      </c>
      <c r="O161" s="33">
        <v>53</v>
      </c>
      <c r="P161" s="105">
        <v>9.1000000000000004E-3</v>
      </c>
      <c r="Q161" s="113">
        <v>0.01</v>
      </c>
      <c r="R161" s="105">
        <v>0</v>
      </c>
      <c r="S161" s="109">
        <v>41.87</v>
      </c>
      <c r="T161" s="109">
        <v>7.35</v>
      </c>
      <c r="U161" s="109">
        <v>910.85</v>
      </c>
      <c r="V161" s="43">
        <v>1.1161000000000001</v>
      </c>
      <c r="W161" s="44">
        <v>1.5599999999999999E-2</v>
      </c>
    </row>
    <row r="162" spans="1:23" x14ac:dyDescent="0.25">
      <c r="A162" s="80">
        <v>1</v>
      </c>
      <c r="B162" s="81" t="s">
        <v>15</v>
      </c>
      <c r="C162" s="82" t="s">
        <v>200</v>
      </c>
      <c r="D162" s="51">
        <v>0</v>
      </c>
      <c r="E162" s="92">
        <v>57.34</v>
      </c>
      <c r="F162" s="92">
        <v>26.94</v>
      </c>
      <c r="G162" s="92">
        <v>58.02</v>
      </c>
      <c r="H162" s="93">
        <v>24.5</v>
      </c>
      <c r="I162" s="93">
        <f t="shared" si="4"/>
        <v>2.78</v>
      </c>
      <c r="J162" s="92">
        <f t="shared" si="5"/>
        <v>2.52</v>
      </c>
      <c r="K162" s="58">
        <v>192</v>
      </c>
      <c r="L162" s="58">
        <v>770</v>
      </c>
      <c r="M162" s="58">
        <v>38</v>
      </c>
      <c r="N162" s="101">
        <v>0.95</v>
      </c>
      <c r="O162" s="33">
        <v>53</v>
      </c>
      <c r="P162" s="105">
        <v>2.2499999999999999E-2</v>
      </c>
      <c r="Q162" s="113">
        <v>0.01</v>
      </c>
      <c r="R162" s="105">
        <v>0</v>
      </c>
      <c r="S162" s="109">
        <v>41.87</v>
      </c>
      <c r="T162" s="109">
        <v>7.35</v>
      </c>
      <c r="U162" s="109">
        <v>910.85</v>
      </c>
      <c r="V162" s="43">
        <v>1.1161000000000001</v>
      </c>
      <c r="W162" s="44">
        <v>1.5599999999999999E-2</v>
      </c>
    </row>
    <row r="163" spans="1:23" x14ac:dyDescent="0.25">
      <c r="A163" s="80">
        <v>1</v>
      </c>
      <c r="B163" s="81" t="s">
        <v>15</v>
      </c>
      <c r="C163" s="82" t="s">
        <v>201</v>
      </c>
      <c r="D163" s="51">
        <v>0</v>
      </c>
      <c r="E163" s="92">
        <v>57.34</v>
      </c>
      <c r="F163" s="92">
        <v>26.94</v>
      </c>
      <c r="G163" s="92">
        <v>57.99</v>
      </c>
      <c r="H163" s="93">
        <v>24.5</v>
      </c>
      <c r="I163" s="93">
        <f t="shared" si="4"/>
        <v>2.65</v>
      </c>
      <c r="J163" s="92">
        <f t="shared" si="5"/>
        <v>2.41</v>
      </c>
      <c r="K163" s="58">
        <v>192</v>
      </c>
      <c r="L163" s="58">
        <v>770</v>
      </c>
      <c r="M163" s="58">
        <v>38</v>
      </c>
      <c r="N163" s="101">
        <v>0.95</v>
      </c>
      <c r="O163" s="33">
        <v>53</v>
      </c>
      <c r="P163" s="105">
        <v>1.09E-2</v>
      </c>
      <c r="Q163" s="113">
        <v>0</v>
      </c>
      <c r="R163" s="105">
        <v>0</v>
      </c>
      <c r="S163" s="109">
        <v>41.87</v>
      </c>
      <c r="T163" s="109">
        <v>7.35</v>
      </c>
      <c r="U163" s="109">
        <v>910.85</v>
      </c>
      <c r="V163" s="43">
        <v>1.1161000000000001</v>
      </c>
      <c r="W163" s="44">
        <v>1.5599999999999999E-2</v>
      </c>
    </row>
    <row r="164" spans="1:23" x14ac:dyDescent="0.25">
      <c r="A164" s="80">
        <v>1</v>
      </c>
      <c r="B164" s="81" t="s">
        <v>15</v>
      </c>
      <c r="C164" s="82" t="s">
        <v>202</v>
      </c>
      <c r="D164" s="51">
        <v>0</v>
      </c>
      <c r="E164" s="92">
        <v>57.34</v>
      </c>
      <c r="F164" s="92">
        <v>26.94</v>
      </c>
      <c r="G164" s="92">
        <v>57.97</v>
      </c>
      <c r="H164" s="93">
        <v>24.5</v>
      </c>
      <c r="I164" s="93">
        <f t="shared" si="4"/>
        <v>2.57</v>
      </c>
      <c r="J164" s="92">
        <f t="shared" si="5"/>
        <v>2.34</v>
      </c>
      <c r="K164" s="58">
        <v>192</v>
      </c>
      <c r="L164" s="58">
        <v>770</v>
      </c>
      <c r="M164" s="58">
        <v>38</v>
      </c>
      <c r="N164" s="101">
        <v>0.95</v>
      </c>
      <c r="O164" s="33">
        <v>53</v>
      </c>
      <c r="P164" s="105">
        <v>2.01E-2</v>
      </c>
      <c r="Q164" s="113">
        <v>0</v>
      </c>
      <c r="R164" s="105">
        <v>0</v>
      </c>
      <c r="S164" s="109">
        <v>41.87</v>
      </c>
      <c r="T164" s="109">
        <v>7.35</v>
      </c>
      <c r="U164" s="109">
        <v>910.85</v>
      </c>
      <c r="V164" s="43">
        <v>1.1161000000000001</v>
      </c>
      <c r="W164" s="44">
        <v>1.5599999999999999E-2</v>
      </c>
    </row>
    <row r="165" spans="1:23" x14ac:dyDescent="0.25">
      <c r="A165" s="80">
        <v>1</v>
      </c>
      <c r="B165" s="81" t="s">
        <v>15</v>
      </c>
      <c r="C165" s="82" t="s">
        <v>203</v>
      </c>
      <c r="D165" s="51">
        <v>0</v>
      </c>
      <c r="E165" s="92">
        <v>57.34</v>
      </c>
      <c r="F165" s="92">
        <v>26.94</v>
      </c>
      <c r="G165" s="92">
        <v>57.94</v>
      </c>
      <c r="H165" s="93">
        <v>24.5</v>
      </c>
      <c r="I165" s="93">
        <f t="shared" si="4"/>
        <v>2.4500000000000002</v>
      </c>
      <c r="J165" s="92">
        <f t="shared" si="5"/>
        <v>2.23</v>
      </c>
      <c r="K165" s="58">
        <v>192</v>
      </c>
      <c r="L165" s="58">
        <v>770</v>
      </c>
      <c r="M165" s="58">
        <v>38</v>
      </c>
      <c r="N165" s="101">
        <v>0.95</v>
      </c>
      <c r="O165" s="33">
        <v>53</v>
      </c>
      <c r="P165" s="105">
        <v>4.5999999999999999E-3</v>
      </c>
      <c r="Q165" s="113">
        <v>0</v>
      </c>
      <c r="R165" s="105">
        <v>0</v>
      </c>
      <c r="S165" s="109">
        <v>41.87</v>
      </c>
      <c r="T165" s="109">
        <v>7.35</v>
      </c>
      <c r="U165" s="109">
        <v>910.85</v>
      </c>
      <c r="V165" s="43">
        <v>1.1161000000000001</v>
      </c>
      <c r="W165" s="44">
        <v>1.5599999999999999E-2</v>
      </c>
    </row>
    <row r="166" spans="1:23" x14ac:dyDescent="0.25">
      <c r="A166" s="80">
        <v>1</v>
      </c>
      <c r="B166" s="81" t="s">
        <v>15</v>
      </c>
      <c r="C166" s="82" t="s">
        <v>204</v>
      </c>
      <c r="D166" s="51">
        <v>0</v>
      </c>
      <c r="E166" s="92">
        <v>57.34</v>
      </c>
      <c r="F166" s="92">
        <v>26.94</v>
      </c>
      <c r="G166" s="92">
        <v>57.91</v>
      </c>
      <c r="H166" s="93">
        <v>24.5</v>
      </c>
      <c r="I166" s="93">
        <f t="shared" si="4"/>
        <v>2.33</v>
      </c>
      <c r="J166" s="92">
        <f t="shared" si="5"/>
        <v>2.12</v>
      </c>
      <c r="K166" s="58">
        <v>192</v>
      </c>
      <c r="L166" s="58">
        <v>770</v>
      </c>
      <c r="M166" s="58">
        <v>38</v>
      </c>
      <c r="N166" s="101">
        <v>0.95</v>
      </c>
      <c r="O166" s="33">
        <v>53</v>
      </c>
      <c r="P166" s="105">
        <v>1.32E-2</v>
      </c>
      <c r="Q166" s="113">
        <v>0.01</v>
      </c>
      <c r="R166" s="105">
        <v>0</v>
      </c>
      <c r="S166" s="109">
        <v>41.87</v>
      </c>
      <c r="T166" s="109">
        <v>7.35</v>
      </c>
      <c r="U166" s="109">
        <v>910.85</v>
      </c>
      <c r="V166" s="43">
        <v>1.1161000000000001</v>
      </c>
      <c r="W166" s="44">
        <v>1.5599999999999999E-2</v>
      </c>
    </row>
    <row r="167" spans="1:23" x14ac:dyDescent="0.25">
      <c r="A167" s="80">
        <v>1</v>
      </c>
      <c r="B167" s="81" t="s">
        <v>15</v>
      </c>
      <c r="C167" s="82" t="s">
        <v>205</v>
      </c>
      <c r="D167" s="51">
        <v>0</v>
      </c>
      <c r="E167" s="92">
        <v>57.34</v>
      </c>
      <c r="F167" s="92">
        <v>26.94</v>
      </c>
      <c r="G167" s="92">
        <v>57.89</v>
      </c>
      <c r="H167" s="93">
        <v>24.5</v>
      </c>
      <c r="I167" s="93">
        <f t="shared" si="4"/>
        <v>2.2400000000000002</v>
      </c>
      <c r="J167" s="92">
        <f t="shared" si="5"/>
        <v>2.04</v>
      </c>
      <c r="K167" s="58">
        <v>192</v>
      </c>
      <c r="L167" s="58">
        <v>770</v>
      </c>
      <c r="M167" s="58">
        <v>38</v>
      </c>
      <c r="N167" s="101">
        <v>0.95</v>
      </c>
      <c r="O167" s="33">
        <v>53</v>
      </c>
      <c r="P167" s="105">
        <v>1.9699999999999999E-2</v>
      </c>
      <c r="Q167" s="113">
        <v>0</v>
      </c>
      <c r="R167" s="105">
        <v>0</v>
      </c>
      <c r="S167" s="109">
        <v>41.87</v>
      </c>
      <c r="T167" s="109">
        <v>7.35</v>
      </c>
      <c r="U167" s="109">
        <v>910.85</v>
      </c>
      <c r="V167" s="43">
        <v>1.1161000000000001</v>
      </c>
      <c r="W167" s="44">
        <v>1.5599999999999999E-2</v>
      </c>
    </row>
    <row r="168" spans="1:23" x14ac:dyDescent="0.25">
      <c r="A168" s="80">
        <v>1</v>
      </c>
      <c r="B168" s="81" t="s">
        <v>15</v>
      </c>
      <c r="C168" s="82" t="s">
        <v>206</v>
      </c>
      <c r="D168" s="51">
        <v>0</v>
      </c>
      <c r="E168" s="92">
        <v>57.34</v>
      </c>
      <c r="F168" s="92">
        <v>26.94</v>
      </c>
      <c r="G168" s="92">
        <v>57.87</v>
      </c>
      <c r="H168" s="93">
        <v>24.5</v>
      </c>
      <c r="I168" s="93">
        <f t="shared" si="4"/>
        <v>2.16</v>
      </c>
      <c r="J168" s="92">
        <f t="shared" si="5"/>
        <v>1.97</v>
      </c>
      <c r="K168" s="58">
        <v>192</v>
      </c>
      <c r="L168" s="58">
        <v>770</v>
      </c>
      <c r="M168" s="58">
        <v>38</v>
      </c>
      <c r="N168" s="101">
        <v>0.95</v>
      </c>
      <c r="O168" s="33">
        <v>53</v>
      </c>
      <c r="P168" s="105">
        <v>9.2999999999999992E-3</v>
      </c>
      <c r="Q168" s="113">
        <v>0</v>
      </c>
      <c r="R168" s="105">
        <v>0</v>
      </c>
      <c r="S168" s="109">
        <v>41.87</v>
      </c>
      <c r="T168" s="109">
        <v>7.35</v>
      </c>
      <c r="U168" s="109">
        <v>910.85</v>
      </c>
      <c r="V168" s="43">
        <v>1.1161000000000001</v>
      </c>
      <c r="W168" s="44">
        <v>1.5599999999999999E-2</v>
      </c>
    </row>
    <row r="169" spans="1:23" x14ac:dyDescent="0.25">
      <c r="A169" s="80">
        <v>1</v>
      </c>
      <c r="B169" s="81" t="s">
        <v>15</v>
      </c>
      <c r="C169" s="82" t="s">
        <v>207</v>
      </c>
      <c r="D169" s="51">
        <v>0</v>
      </c>
      <c r="E169" s="92">
        <v>57.34</v>
      </c>
      <c r="F169" s="92">
        <v>26.94</v>
      </c>
      <c r="G169" s="92">
        <v>57.84</v>
      </c>
      <c r="H169" s="93">
        <v>24.5</v>
      </c>
      <c r="I169" s="93">
        <f t="shared" si="4"/>
        <v>2.04</v>
      </c>
      <c r="J169" s="92">
        <f t="shared" si="5"/>
        <v>1.86</v>
      </c>
      <c r="K169" s="58">
        <v>192</v>
      </c>
      <c r="L169" s="58">
        <v>770</v>
      </c>
      <c r="M169" s="58">
        <v>38</v>
      </c>
      <c r="N169" s="101">
        <v>0.95</v>
      </c>
      <c r="O169" s="33">
        <v>53</v>
      </c>
      <c r="P169" s="105">
        <v>1.3899999999999999E-2</v>
      </c>
      <c r="Q169" s="113">
        <v>0</v>
      </c>
      <c r="R169" s="105">
        <v>0</v>
      </c>
      <c r="S169" s="109">
        <v>41.87</v>
      </c>
      <c r="T169" s="109">
        <v>7.35</v>
      </c>
      <c r="U169" s="109">
        <v>910.85</v>
      </c>
      <c r="V169" s="43">
        <v>1.1161000000000001</v>
      </c>
      <c r="W169" s="44">
        <v>1.5599999999999999E-2</v>
      </c>
    </row>
    <row r="170" spans="1:23" x14ac:dyDescent="0.25">
      <c r="A170" s="80">
        <v>1</v>
      </c>
      <c r="B170" s="81" t="s">
        <v>15</v>
      </c>
      <c r="C170" s="82" t="s">
        <v>208</v>
      </c>
      <c r="D170" s="51">
        <v>0</v>
      </c>
      <c r="E170" s="92">
        <v>57.34</v>
      </c>
      <c r="F170" s="92">
        <v>26.94</v>
      </c>
      <c r="G170" s="92">
        <v>57.82</v>
      </c>
      <c r="H170" s="93">
        <v>24.5</v>
      </c>
      <c r="I170" s="93">
        <f t="shared" si="4"/>
        <v>1.96</v>
      </c>
      <c r="J170" s="92">
        <f t="shared" si="5"/>
        <v>1.78</v>
      </c>
      <c r="K170" s="58">
        <v>192</v>
      </c>
      <c r="L170" s="58">
        <v>770</v>
      </c>
      <c r="M170" s="58">
        <v>38</v>
      </c>
      <c r="N170" s="101">
        <v>0.95</v>
      </c>
      <c r="O170" s="33">
        <v>53</v>
      </c>
      <c r="P170" s="105">
        <v>1.83E-2</v>
      </c>
      <c r="Q170" s="113">
        <v>0</v>
      </c>
      <c r="R170" s="105">
        <v>0</v>
      </c>
      <c r="S170" s="109">
        <v>41.87</v>
      </c>
      <c r="T170" s="109">
        <v>7.35</v>
      </c>
      <c r="U170" s="109">
        <v>910.85</v>
      </c>
      <c r="V170" s="43">
        <v>1.1161000000000001</v>
      </c>
      <c r="W170" s="44">
        <v>1.5599999999999999E-2</v>
      </c>
    </row>
    <row r="171" spans="1:23" x14ac:dyDescent="0.25">
      <c r="A171" s="80">
        <v>1</v>
      </c>
      <c r="B171" s="81" t="s">
        <v>15</v>
      </c>
      <c r="C171" s="82" t="s">
        <v>209</v>
      </c>
      <c r="D171" s="51">
        <v>0</v>
      </c>
      <c r="E171" s="92">
        <v>57.34</v>
      </c>
      <c r="F171" s="92">
        <v>26.94</v>
      </c>
      <c r="G171" s="92">
        <v>57.79</v>
      </c>
      <c r="H171" s="93">
        <v>24.5</v>
      </c>
      <c r="I171" s="93">
        <f t="shared" si="4"/>
        <v>1.84</v>
      </c>
      <c r="J171" s="92">
        <f t="shared" si="5"/>
        <v>1.67</v>
      </c>
      <c r="K171" s="58">
        <v>192</v>
      </c>
      <c r="L171" s="58">
        <v>770</v>
      </c>
      <c r="M171" s="58">
        <v>38</v>
      </c>
      <c r="N171" s="101">
        <v>0.95</v>
      </c>
      <c r="O171" s="33">
        <v>53</v>
      </c>
      <c r="P171" s="105">
        <v>1.4500000000000001E-2</v>
      </c>
      <c r="Q171" s="113">
        <v>0.01</v>
      </c>
      <c r="R171" s="105">
        <v>0</v>
      </c>
      <c r="S171" s="109">
        <v>41.87</v>
      </c>
      <c r="T171" s="109">
        <v>7.35</v>
      </c>
      <c r="U171" s="109">
        <v>910.85</v>
      </c>
      <c r="V171" s="43">
        <v>1.1161000000000001</v>
      </c>
      <c r="W171" s="44">
        <v>1.5599999999999999E-2</v>
      </c>
    </row>
    <row r="172" spans="1:23" x14ac:dyDescent="0.25">
      <c r="A172" s="80">
        <v>1</v>
      </c>
      <c r="B172" s="81" t="s">
        <v>15</v>
      </c>
      <c r="C172" s="82" t="s">
        <v>210</v>
      </c>
      <c r="D172" s="51">
        <v>0</v>
      </c>
      <c r="E172" s="92">
        <v>57.34</v>
      </c>
      <c r="F172" s="92">
        <v>26.94</v>
      </c>
      <c r="G172" s="92">
        <v>57.77</v>
      </c>
      <c r="H172" s="93">
        <v>24.5</v>
      </c>
      <c r="I172" s="93">
        <f t="shared" si="4"/>
        <v>1.76</v>
      </c>
      <c r="J172" s="92">
        <f t="shared" si="5"/>
        <v>1.6</v>
      </c>
      <c r="K172" s="58">
        <v>192</v>
      </c>
      <c r="L172" s="58">
        <v>770</v>
      </c>
      <c r="M172" s="58">
        <v>38</v>
      </c>
      <c r="N172" s="101">
        <v>0.95</v>
      </c>
      <c r="O172" s="33">
        <v>53</v>
      </c>
      <c r="P172" s="105">
        <v>0</v>
      </c>
      <c r="Q172" s="113">
        <v>0</v>
      </c>
      <c r="R172" s="105">
        <v>0</v>
      </c>
      <c r="S172" s="109">
        <v>41.87</v>
      </c>
      <c r="T172" s="109">
        <v>7.35</v>
      </c>
      <c r="U172" s="109">
        <v>910.85</v>
      </c>
      <c r="V172" s="43">
        <v>1.1161000000000001</v>
      </c>
      <c r="W172" s="44">
        <v>1.5599999999999999E-2</v>
      </c>
    </row>
    <row r="173" spans="1:23" x14ac:dyDescent="0.25">
      <c r="A173" s="80">
        <v>1</v>
      </c>
      <c r="B173" s="81" t="s">
        <v>15</v>
      </c>
      <c r="C173" s="82" t="s">
        <v>211</v>
      </c>
      <c r="D173" s="51">
        <v>0</v>
      </c>
      <c r="E173" s="92">
        <v>57.34</v>
      </c>
      <c r="F173" s="92">
        <v>26.94</v>
      </c>
      <c r="G173" s="92">
        <v>57.75</v>
      </c>
      <c r="H173" s="93">
        <v>24.5</v>
      </c>
      <c r="I173" s="93">
        <f t="shared" si="4"/>
        <v>1.67</v>
      </c>
      <c r="J173" s="92">
        <f t="shared" si="5"/>
        <v>1.52</v>
      </c>
      <c r="K173" s="58">
        <v>192</v>
      </c>
      <c r="L173" s="58">
        <v>770</v>
      </c>
      <c r="M173" s="58">
        <v>38</v>
      </c>
      <c r="N173" s="101">
        <v>0.95</v>
      </c>
      <c r="O173" s="33">
        <v>53</v>
      </c>
      <c r="P173" s="105">
        <v>1.66E-2</v>
      </c>
      <c r="Q173" s="113">
        <v>0</v>
      </c>
      <c r="R173" s="105">
        <v>0</v>
      </c>
      <c r="S173" s="109">
        <v>41.87</v>
      </c>
      <c r="T173" s="109">
        <v>7.35</v>
      </c>
      <c r="U173" s="109">
        <v>910.85</v>
      </c>
      <c r="V173" s="43">
        <v>1.1161000000000001</v>
      </c>
      <c r="W173" s="44">
        <v>1.5599999999999999E-2</v>
      </c>
    </row>
    <row r="174" spans="1:23" x14ac:dyDescent="0.25">
      <c r="A174" s="80">
        <v>1</v>
      </c>
      <c r="B174" s="81" t="s">
        <v>15</v>
      </c>
      <c r="C174" s="82" t="s">
        <v>212</v>
      </c>
      <c r="D174" s="51">
        <v>0</v>
      </c>
      <c r="E174" s="92">
        <v>57.34</v>
      </c>
      <c r="F174" s="92">
        <v>26.94</v>
      </c>
      <c r="G174" s="92">
        <v>57.73</v>
      </c>
      <c r="H174" s="93">
        <v>24.5</v>
      </c>
      <c r="I174" s="93">
        <f t="shared" si="4"/>
        <v>1.59</v>
      </c>
      <c r="J174" s="92">
        <f t="shared" si="5"/>
        <v>1.45</v>
      </c>
      <c r="K174" s="58">
        <v>192</v>
      </c>
      <c r="L174" s="58">
        <v>770</v>
      </c>
      <c r="M174" s="58">
        <v>38</v>
      </c>
      <c r="N174" s="101">
        <v>0.95</v>
      </c>
      <c r="O174" s="33">
        <v>53</v>
      </c>
      <c r="P174" s="105">
        <v>1.3899999999999999E-2</v>
      </c>
      <c r="Q174" s="113">
        <v>0</v>
      </c>
      <c r="R174" s="105">
        <v>0</v>
      </c>
      <c r="S174" s="109">
        <v>41.87</v>
      </c>
      <c r="T174" s="109">
        <v>7.35</v>
      </c>
      <c r="U174" s="109">
        <v>910.85</v>
      </c>
      <c r="V174" s="43">
        <v>1.1161000000000001</v>
      </c>
      <c r="W174" s="44">
        <v>1.5599999999999999E-2</v>
      </c>
    </row>
    <row r="175" spans="1:23" x14ac:dyDescent="0.25">
      <c r="A175" s="80">
        <v>1</v>
      </c>
      <c r="B175" s="81" t="s">
        <v>15</v>
      </c>
      <c r="C175" s="82" t="s">
        <v>213</v>
      </c>
      <c r="D175" s="51">
        <v>0</v>
      </c>
      <c r="E175" s="92">
        <v>57.34</v>
      </c>
      <c r="F175" s="92">
        <v>26.94</v>
      </c>
      <c r="G175" s="92">
        <v>57.71</v>
      </c>
      <c r="H175" s="93">
        <v>24.5</v>
      </c>
      <c r="I175" s="93">
        <f t="shared" si="4"/>
        <v>1.51</v>
      </c>
      <c r="J175" s="92">
        <f t="shared" si="5"/>
        <v>1.37</v>
      </c>
      <c r="K175" s="58">
        <v>192</v>
      </c>
      <c r="L175" s="58">
        <v>770</v>
      </c>
      <c r="M175" s="58">
        <v>38</v>
      </c>
      <c r="N175" s="101">
        <v>0.95</v>
      </c>
      <c r="O175" s="33">
        <v>53</v>
      </c>
      <c r="P175" s="105">
        <v>8.9999999999999993E-3</v>
      </c>
      <c r="Q175" s="113">
        <v>0</v>
      </c>
      <c r="R175" s="105">
        <v>0</v>
      </c>
      <c r="S175" s="109">
        <v>41.87</v>
      </c>
      <c r="T175" s="109">
        <v>7.35</v>
      </c>
      <c r="U175" s="109">
        <v>910.85</v>
      </c>
      <c r="V175" s="43">
        <v>1.1161000000000001</v>
      </c>
      <c r="W175" s="44">
        <v>1.5599999999999999E-2</v>
      </c>
    </row>
    <row r="176" spans="1:23" x14ac:dyDescent="0.25">
      <c r="A176" s="80">
        <v>1</v>
      </c>
      <c r="B176" s="81" t="s">
        <v>15</v>
      </c>
      <c r="C176" s="82" t="s">
        <v>214</v>
      </c>
      <c r="D176" s="51">
        <v>0</v>
      </c>
      <c r="E176" s="92">
        <v>57.34</v>
      </c>
      <c r="F176" s="92">
        <v>26.94</v>
      </c>
      <c r="G176" s="92">
        <v>57.69</v>
      </c>
      <c r="H176" s="93">
        <v>24.5</v>
      </c>
      <c r="I176" s="93">
        <f t="shared" si="4"/>
        <v>1.43</v>
      </c>
      <c r="J176" s="92">
        <f t="shared" si="5"/>
        <v>1.3</v>
      </c>
      <c r="K176" s="58">
        <v>192</v>
      </c>
      <c r="L176" s="58">
        <v>770</v>
      </c>
      <c r="M176" s="58">
        <v>38</v>
      </c>
      <c r="N176" s="101">
        <v>0.95</v>
      </c>
      <c r="O176" s="33">
        <v>53</v>
      </c>
      <c r="P176" s="105">
        <v>1.7100000000000001E-2</v>
      </c>
      <c r="Q176" s="113">
        <v>0.01</v>
      </c>
      <c r="R176" s="105">
        <v>0</v>
      </c>
      <c r="S176" s="109">
        <v>41.87</v>
      </c>
      <c r="T176" s="109">
        <v>7.35</v>
      </c>
      <c r="U176" s="109">
        <v>910.85</v>
      </c>
      <c r="V176" s="43">
        <v>1.1161000000000001</v>
      </c>
      <c r="W176" s="44">
        <v>1.5599999999999999E-2</v>
      </c>
    </row>
    <row r="177" spans="1:23" x14ac:dyDescent="0.25">
      <c r="A177" s="80">
        <v>1</v>
      </c>
      <c r="B177" s="81" t="s">
        <v>15</v>
      </c>
      <c r="C177" s="82" t="s">
        <v>215</v>
      </c>
      <c r="D177" s="51">
        <v>0</v>
      </c>
      <c r="E177" s="92">
        <v>57.34</v>
      </c>
      <c r="F177" s="92">
        <v>26.94</v>
      </c>
      <c r="G177" s="92">
        <v>57.67</v>
      </c>
      <c r="H177" s="93">
        <v>24.5</v>
      </c>
      <c r="I177" s="93">
        <f t="shared" si="4"/>
        <v>1.35</v>
      </c>
      <c r="J177" s="92">
        <f t="shared" si="5"/>
        <v>1.22</v>
      </c>
      <c r="K177" s="58">
        <v>192</v>
      </c>
      <c r="L177" s="58">
        <v>770</v>
      </c>
      <c r="M177" s="58">
        <v>38</v>
      </c>
      <c r="N177" s="101">
        <v>0.95</v>
      </c>
      <c r="O177" s="33">
        <v>53</v>
      </c>
      <c r="P177" s="105">
        <v>2.5700000000000001E-2</v>
      </c>
      <c r="Q177" s="113">
        <v>0</v>
      </c>
      <c r="R177" s="105">
        <v>0</v>
      </c>
      <c r="S177" s="109">
        <v>41.87</v>
      </c>
      <c r="T177" s="109">
        <v>7.35</v>
      </c>
      <c r="U177" s="109">
        <v>910.85</v>
      </c>
      <c r="V177" s="43">
        <v>1.1161000000000001</v>
      </c>
      <c r="W177" s="44">
        <v>1.5599999999999999E-2</v>
      </c>
    </row>
    <row r="178" spans="1:23" x14ac:dyDescent="0.25">
      <c r="A178" s="80">
        <v>1</v>
      </c>
      <c r="B178" s="81" t="s">
        <v>15</v>
      </c>
      <c r="C178" s="82" t="s">
        <v>216</v>
      </c>
      <c r="D178" s="51">
        <v>0</v>
      </c>
      <c r="E178" s="92">
        <v>57.34</v>
      </c>
      <c r="F178" s="92">
        <v>26.94</v>
      </c>
      <c r="G178" s="92">
        <v>57.65</v>
      </c>
      <c r="H178" s="93">
        <v>24.5</v>
      </c>
      <c r="I178" s="93">
        <f t="shared" si="4"/>
        <v>1.27</v>
      </c>
      <c r="J178" s="92">
        <f t="shared" si="5"/>
        <v>1.1499999999999999</v>
      </c>
      <c r="K178" s="58">
        <v>192</v>
      </c>
      <c r="L178" s="58">
        <v>770</v>
      </c>
      <c r="M178" s="58">
        <v>38</v>
      </c>
      <c r="N178" s="101">
        <v>0.95</v>
      </c>
      <c r="O178" s="33">
        <v>53</v>
      </c>
      <c r="P178" s="105">
        <v>3.8999999999999998E-3</v>
      </c>
      <c r="Q178" s="113">
        <v>0.01</v>
      </c>
      <c r="R178" s="105">
        <v>0</v>
      </c>
      <c r="S178" s="109">
        <v>41.87</v>
      </c>
      <c r="T178" s="109">
        <v>7.35</v>
      </c>
      <c r="U178" s="109">
        <v>910.85</v>
      </c>
      <c r="V178" s="43">
        <v>1.1161000000000001</v>
      </c>
      <c r="W178" s="44">
        <v>1.5599999999999999E-2</v>
      </c>
    </row>
    <row r="179" spans="1:23" x14ac:dyDescent="0.25">
      <c r="A179" s="80">
        <v>1</v>
      </c>
      <c r="B179" s="81" t="s">
        <v>15</v>
      </c>
      <c r="C179" s="82" t="s">
        <v>217</v>
      </c>
      <c r="D179" s="51">
        <v>0</v>
      </c>
      <c r="E179" s="92">
        <v>57.34</v>
      </c>
      <c r="F179" s="92">
        <v>26.94</v>
      </c>
      <c r="G179" s="92">
        <v>57.63</v>
      </c>
      <c r="H179" s="93">
        <v>24.5</v>
      </c>
      <c r="I179" s="93">
        <f t="shared" si="4"/>
        <v>1.18</v>
      </c>
      <c r="J179" s="92">
        <f t="shared" si="5"/>
        <v>1.08</v>
      </c>
      <c r="K179" s="58">
        <v>192</v>
      </c>
      <c r="L179" s="58">
        <v>770</v>
      </c>
      <c r="M179" s="58">
        <v>38</v>
      </c>
      <c r="N179" s="101">
        <v>0.95</v>
      </c>
      <c r="O179" s="33">
        <v>53</v>
      </c>
      <c r="P179" s="105">
        <v>0</v>
      </c>
      <c r="Q179" s="113">
        <v>0</v>
      </c>
      <c r="R179" s="105">
        <v>0</v>
      </c>
      <c r="S179" s="109">
        <v>41.87</v>
      </c>
      <c r="T179" s="109">
        <v>7.35</v>
      </c>
      <c r="U179" s="109">
        <v>910.85</v>
      </c>
      <c r="V179" s="43">
        <v>1.1161000000000001</v>
      </c>
      <c r="W179" s="44">
        <v>1.5599999999999999E-2</v>
      </c>
    </row>
    <row r="180" spans="1:23" x14ac:dyDescent="0.25">
      <c r="A180" s="80">
        <v>1</v>
      </c>
      <c r="B180" s="81" t="s">
        <v>15</v>
      </c>
      <c r="C180" s="82" t="s">
        <v>218</v>
      </c>
      <c r="D180" s="51">
        <v>0</v>
      </c>
      <c r="E180" s="92">
        <v>57.34</v>
      </c>
      <c r="F180" s="92">
        <v>26.94</v>
      </c>
      <c r="G180" s="92">
        <v>57.61</v>
      </c>
      <c r="H180" s="93">
        <v>24.5</v>
      </c>
      <c r="I180" s="93">
        <f t="shared" si="4"/>
        <v>1.1000000000000001</v>
      </c>
      <c r="J180" s="92">
        <f t="shared" si="5"/>
        <v>1</v>
      </c>
      <c r="K180" s="58">
        <v>192</v>
      </c>
      <c r="L180" s="58">
        <v>770</v>
      </c>
      <c r="M180" s="58">
        <v>38</v>
      </c>
      <c r="N180" s="101">
        <v>0.95</v>
      </c>
      <c r="O180" s="33">
        <v>53</v>
      </c>
      <c r="P180" s="105">
        <v>8.9999999999999993E-3</v>
      </c>
      <c r="Q180" s="113">
        <v>0.01</v>
      </c>
      <c r="R180" s="105">
        <v>0</v>
      </c>
      <c r="S180" s="109">
        <v>41.87</v>
      </c>
      <c r="T180" s="109">
        <v>7.35</v>
      </c>
      <c r="U180" s="109">
        <v>910.85</v>
      </c>
      <c r="V180" s="43">
        <v>1.1161000000000001</v>
      </c>
      <c r="W180" s="44">
        <v>1.5599999999999999E-2</v>
      </c>
    </row>
    <row r="181" spans="1:23" x14ac:dyDescent="0.25">
      <c r="A181" s="80">
        <v>1</v>
      </c>
      <c r="B181" s="81" t="s">
        <v>15</v>
      </c>
      <c r="C181" s="82" t="s">
        <v>219</v>
      </c>
      <c r="D181" s="51">
        <v>0</v>
      </c>
      <c r="E181" s="92">
        <v>57.34</v>
      </c>
      <c r="F181" s="92">
        <v>26.94</v>
      </c>
      <c r="G181" s="92">
        <v>57.6</v>
      </c>
      <c r="H181" s="93">
        <v>24.5</v>
      </c>
      <c r="I181" s="93">
        <f t="shared" si="4"/>
        <v>1.06</v>
      </c>
      <c r="J181" s="92">
        <f t="shared" si="5"/>
        <v>0.97</v>
      </c>
      <c r="K181" s="58">
        <v>192</v>
      </c>
      <c r="L181" s="58">
        <v>770</v>
      </c>
      <c r="M181" s="58">
        <v>38</v>
      </c>
      <c r="N181" s="101">
        <v>0.95</v>
      </c>
      <c r="O181" s="33">
        <v>53</v>
      </c>
      <c r="P181" s="105">
        <v>5.0000000000000001E-3</v>
      </c>
      <c r="Q181" s="113">
        <v>0</v>
      </c>
      <c r="R181" s="105">
        <v>0</v>
      </c>
      <c r="S181" s="109">
        <v>41.87</v>
      </c>
      <c r="T181" s="109">
        <v>7.35</v>
      </c>
      <c r="U181" s="109">
        <v>910.85</v>
      </c>
      <c r="V181" s="43">
        <v>1.1161000000000001</v>
      </c>
      <c r="W181" s="44">
        <v>1.5599999999999999E-2</v>
      </c>
    </row>
    <row r="182" spans="1:23" x14ac:dyDescent="0.25">
      <c r="A182" s="80">
        <v>1</v>
      </c>
      <c r="B182" s="81" t="s">
        <v>15</v>
      </c>
      <c r="C182" s="82" t="s">
        <v>220</v>
      </c>
      <c r="D182" s="51">
        <v>0</v>
      </c>
      <c r="E182" s="92">
        <v>57.34</v>
      </c>
      <c r="F182" s="92">
        <v>26.94</v>
      </c>
      <c r="G182" s="92">
        <v>57.57</v>
      </c>
      <c r="H182" s="93">
        <v>24.5</v>
      </c>
      <c r="I182" s="93">
        <f t="shared" si="4"/>
        <v>0.94</v>
      </c>
      <c r="J182" s="92">
        <f t="shared" si="5"/>
        <v>0.85</v>
      </c>
      <c r="K182" s="58">
        <v>192</v>
      </c>
      <c r="L182" s="58">
        <v>770</v>
      </c>
      <c r="M182" s="58">
        <v>38</v>
      </c>
      <c r="N182" s="101">
        <v>0.95</v>
      </c>
      <c r="O182" s="33">
        <v>53</v>
      </c>
      <c r="P182" s="105">
        <v>0</v>
      </c>
      <c r="Q182" s="113">
        <v>0</v>
      </c>
      <c r="R182" s="105">
        <v>0</v>
      </c>
      <c r="S182" s="109">
        <v>41.87</v>
      </c>
      <c r="T182" s="109">
        <v>7.35</v>
      </c>
      <c r="U182" s="109">
        <v>910.85</v>
      </c>
      <c r="V182" s="43">
        <v>1.1161000000000001</v>
      </c>
      <c r="W182" s="44">
        <v>1.5599999999999999E-2</v>
      </c>
    </row>
    <row r="183" spans="1:23" x14ac:dyDescent="0.25">
      <c r="A183" s="80">
        <v>1</v>
      </c>
      <c r="B183" s="81" t="s">
        <v>15</v>
      </c>
      <c r="C183" s="82" t="s">
        <v>221</v>
      </c>
      <c r="D183" s="51">
        <v>0</v>
      </c>
      <c r="E183" s="92">
        <v>57.34</v>
      </c>
      <c r="F183" s="92">
        <v>26.94</v>
      </c>
      <c r="G183" s="92">
        <v>57.56</v>
      </c>
      <c r="H183" s="93">
        <v>24.5</v>
      </c>
      <c r="I183" s="93">
        <f t="shared" si="4"/>
        <v>0.9</v>
      </c>
      <c r="J183" s="92">
        <f t="shared" si="5"/>
        <v>0.82</v>
      </c>
      <c r="K183" s="58">
        <v>192</v>
      </c>
      <c r="L183" s="58">
        <v>770</v>
      </c>
      <c r="M183" s="58">
        <v>38</v>
      </c>
      <c r="N183" s="101">
        <v>0.95</v>
      </c>
      <c r="O183" s="33">
        <v>53</v>
      </c>
      <c r="P183" s="105">
        <v>0</v>
      </c>
      <c r="Q183" s="113">
        <v>0</v>
      </c>
      <c r="R183" s="105">
        <v>0</v>
      </c>
      <c r="S183" s="109">
        <v>41.87</v>
      </c>
      <c r="T183" s="109">
        <v>7.35</v>
      </c>
      <c r="U183" s="109">
        <v>910.85</v>
      </c>
      <c r="V183" s="43">
        <v>1.1161000000000001</v>
      </c>
      <c r="W183" s="44">
        <v>1.5599999999999999E-2</v>
      </c>
    </row>
    <row r="184" spans="1:23" x14ac:dyDescent="0.25">
      <c r="A184" s="80">
        <v>1</v>
      </c>
      <c r="B184" s="81" t="s">
        <v>15</v>
      </c>
      <c r="C184" s="82" t="s">
        <v>222</v>
      </c>
      <c r="D184" s="51">
        <v>0</v>
      </c>
      <c r="E184" s="92">
        <v>57.34</v>
      </c>
      <c r="F184" s="92">
        <v>26.94</v>
      </c>
      <c r="G184" s="92">
        <v>57.54</v>
      </c>
      <c r="H184" s="93">
        <v>24.5</v>
      </c>
      <c r="I184" s="93">
        <f t="shared" si="4"/>
        <v>0.82</v>
      </c>
      <c r="J184" s="92">
        <f t="shared" si="5"/>
        <v>0.74</v>
      </c>
      <c r="K184" s="58">
        <v>192</v>
      </c>
      <c r="L184" s="58">
        <v>770</v>
      </c>
      <c r="M184" s="58">
        <v>38</v>
      </c>
      <c r="N184" s="101">
        <v>0.95</v>
      </c>
      <c r="O184" s="33">
        <v>53</v>
      </c>
      <c r="P184" s="105">
        <v>2.0999999999999999E-3</v>
      </c>
      <c r="Q184" s="113">
        <v>0</v>
      </c>
      <c r="R184" s="105">
        <v>0</v>
      </c>
      <c r="S184" s="109">
        <v>41.87</v>
      </c>
      <c r="T184" s="109">
        <v>7.35</v>
      </c>
      <c r="U184" s="109">
        <v>910.85</v>
      </c>
      <c r="V184" s="43">
        <v>1.1161000000000001</v>
      </c>
      <c r="W184" s="44">
        <v>1.5599999999999999E-2</v>
      </c>
    </row>
    <row r="185" spans="1:23" x14ac:dyDescent="0.25">
      <c r="A185" s="80">
        <v>1</v>
      </c>
      <c r="B185" s="81" t="s">
        <v>15</v>
      </c>
      <c r="C185" s="82" t="s">
        <v>223</v>
      </c>
      <c r="D185" s="51">
        <v>0</v>
      </c>
      <c r="E185" s="92">
        <v>57.34</v>
      </c>
      <c r="F185" s="92">
        <v>26.94</v>
      </c>
      <c r="G185" s="92">
        <v>57.53</v>
      </c>
      <c r="H185" s="93">
        <v>24.5</v>
      </c>
      <c r="I185" s="93">
        <f t="shared" si="4"/>
        <v>0.78</v>
      </c>
      <c r="J185" s="92">
        <f t="shared" si="5"/>
        <v>0.71</v>
      </c>
      <c r="K185" s="58">
        <v>192</v>
      </c>
      <c r="L185" s="58">
        <v>770</v>
      </c>
      <c r="M185" s="58">
        <v>38</v>
      </c>
      <c r="N185" s="101">
        <v>0.95</v>
      </c>
      <c r="O185" s="33">
        <v>53</v>
      </c>
      <c r="P185" s="105">
        <v>1.0800000000000001E-2</v>
      </c>
      <c r="Q185" s="113">
        <v>0</v>
      </c>
      <c r="R185" s="105">
        <v>0</v>
      </c>
      <c r="S185" s="109">
        <v>41.87</v>
      </c>
      <c r="T185" s="109">
        <v>7.35</v>
      </c>
      <c r="U185" s="109">
        <v>910.85</v>
      </c>
      <c r="V185" s="43">
        <v>1.1161000000000001</v>
      </c>
      <c r="W185" s="44">
        <v>1.5599999999999999E-2</v>
      </c>
    </row>
    <row r="186" spans="1:23" x14ac:dyDescent="0.25">
      <c r="A186" s="80">
        <v>1</v>
      </c>
      <c r="B186" s="81" t="s">
        <v>15</v>
      </c>
      <c r="C186" s="82" t="s">
        <v>224</v>
      </c>
      <c r="D186" s="51">
        <v>0</v>
      </c>
      <c r="E186" s="92">
        <v>57.34</v>
      </c>
      <c r="F186" s="92">
        <v>26.94</v>
      </c>
      <c r="G186" s="92">
        <v>57.51</v>
      </c>
      <c r="H186" s="93">
        <v>24.5</v>
      </c>
      <c r="I186" s="93">
        <f t="shared" si="4"/>
        <v>0.69</v>
      </c>
      <c r="J186" s="92">
        <f t="shared" si="5"/>
        <v>0.63</v>
      </c>
      <c r="K186" s="58">
        <v>192</v>
      </c>
      <c r="L186" s="58">
        <v>770</v>
      </c>
      <c r="M186" s="58">
        <v>38</v>
      </c>
      <c r="N186" s="101">
        <v>0.95</v>
      </c>
      <c r="O186" s="33">
        <v>53</v>
      </c>
      <c r="P186" s="105">
        <v>1.26E-2</v>
      </c>
      <c r="Q186" s="113">
        <v>0</v>
      </c>
      <c r="R186" s="105">
        <v>0</v>
      </c>
      <c r="S186" s="109">
        <v>41.87</v>
      </c>
      <c r="T186" s="109">
        <v>7.35</v>
      </c>
      <c r="U186" s="109">
        <v>910.85</v>
      </c>
      <c r="V186" s="43">
        <v>1.1161000000000001</v>
      </c>
      <c r="W186" s="44">
        <v>1.5599999999999999E-2</v>
      </c>
    </row>
    <row r="187" spans="1:23" x14ac:dyDescent="0.25">
      <c r="A187" s="80">
        <v>1</v>
      </c>
      <c r="B187" s="81" t="s">
        <v>15</v>
      </c>
      <c r="C187" s="82" t="s">
        <v>225</v>
      </c>
      <c r="D187" s="51">
        <v>0</v>
      </c>
      <c r="E187" s="92">
        <v>57.34</v>
      </c>
      <c r="F187" s="92">
        <v>26.94</v>
      </c>
      <c r="G187" s="92">
        <v>57.5</v>
      </c>
      <c r="H187" s="93">
        <v>24.5</v>
      </c>
      <c r="I187" s="93">
        <f t="shared" si="4"/>
        <v>0.65</v>
      </c>
      <c r="J187" s="92">
        <f t="shared" si="5"/>
        <v>0.59</v>
      </c>
      <c r="K187" s="58">
        <v>192</v>
      </c>
      <c r="L187" s="58">
        <v>770</v>
      </c>
      <c r="M187" s="58">
        <v>38</v>
      </c>
      <c r="N187" s="101">
        <v>0.95</v>
      </c>
      <c r="O187" s="33">
        <v>53</v>
      </c>
      <c r="P187" s="105">
        <v>0</v>
      </c>
      <c r="Q187" s="113">
        <v>0</v>
      </c>
      <c r="R187" s="105">
        <v>0</v>
      </c>
      <c r="S187" s="109">
        <v>41.87</v>
      </c>
      <c r="T187" s="109">
        <v>7.35</v>
      </c>
      <c r="U187" s="109">
        <v>910.85</v>
      </c>
      <c r="V187" s="43">
        <v>1.1161000000000001</v>
      </c>
      <c r="W187" s="44">
        <v>1.5599999999999999E-2</v>
      </c>
    </row>
    <row r="188" spans="1:23" x14ac:dyDescent="0.25">
      <c r="A188" s="80">
        <v>1</v>
      </c>
      <c r="B188" s="81" t="s">
        <v>15</v>
      </c>
      <c r="C188" s="82" t="s">
        <v>226</v>
      </c>
      <c r="D188" s="51">
        <v>0</v>
      </c>
      <c r="E188" s="92">
        <v>57.34</v>
      </c>
      <c r="F188" s="92">
        <v>26.94</v>
      </c>
      <c r="G188" s="92">
        <v>57.48</v>
      </c>
      <c r="H188" s="93">
        <v>24.5</v>
      </c>
      <c r="I188" s="93">
        <f t="shared" si="4"/>
        <v>0.56999999999999995</v>
      </c>
      <c r="J188" s="92">
        <f t="shared" si="5"/>
        <v>0.52</v>
      </c>
      <c r="K188" s="58">
        <v>192</v>
      </c>
      <c r="L188" s="58">
        <v>770</v>
      </c>
      <c r="M188" s="58">
        <v>38</v>
      </c>
      <c r="N188" s="101">
        <v>0.95</v>
      </c>
      <c r="O188" s="33">
        <v>53</v>
      </c>
      <c r="P188" s="105">
        <v>1.9699999999999999E-2</v>
      </c>
      <c r="Q188" s="113">
        <v>0</v>
      </c>
      <c r="R188" s="105">
        <v>0</v>
      </c>
      <c r="S188" s="109">
        <v>41.87</v>
      </c>
      <c r="T188" s="109">
        <v>7.35</v>
      </c>
      <c r="U188" s="109">
        <v>910.85</v>
      </c>
      <c r="V188" s="43">
        <v>1.1161000000000001</v>
      </c>
      <c r="W188" s="44">
        <v>1.5599999999999999E-2</v>
      </c>
    </row>
    <row r="189" spans="1:23" x14ac:dyDescent="0.25">
      <c r="A189" s="80">
        <v>1</v>
      </c>
      <c r="B189" s="81" t="s">
        <v>15</v>
      </c>
      <c r="C189" s="82" t="s">
        <v>227</v>
      </c>
      <c r="D189" s="51">
        <v>0</v>
      </c>
      <c r="E189" s="92">
        <v>57.34</v>
      </c>
      <c r="F189" s="92">
        <v>26.94</v>
      </c>
      <c r="G189" s="92">
        <v>57.47</v>
      </c>
      <c r="H189" s="93">
        <v>24.5</v>
      </c>
      <c r="I189" s="93">
        <f t="shared" si="4"/>
        <v>0.53</v>
      </c>
      <c r="J189" s="92">
        <f t="shared" si="5"/>
        <v>0.48</v>
      </c>
      <c r="K189" s="58">
        <v>192</v>
      </c>
      <c r="L189" s="58">
        <v>770</v>
      </c>
      <c r="M189" s="58">
        <v>38</v>
      </c>
      <c r="N189" s="101">
        <v>0.95</v>
      </c>
      <c r="O189" s="33">
        <v>53</v>
      </c>
      <c r="P189" s="105">
        <v>0</v>
      </c>
      <c r="Q189" s="113">
        <v>0</v>
      </c>
      <c r="R189" s="105">
        <v>0</v>
      </c>
      <c r="S189" s="109">
        <v>41.87</v>
      </c>
      <c r="T189" s="109">
        <v>7.35</v>
      </c>
      <c r="U189" s="109">
        <v>910.85</v>
      </c>
      <c r="V189" s="43">
        <v>1.1161000000000001</v>
      </c>
      <c r="W189" s="44">
        <v>1.5599999999999999E-2</v>
      </c>
    </row>
    <row r="190" spans="1:23" x14ac:dyDescent="0.25">
      <c r="A190" s="80">
        <v>1</v>
      </c>
      <c r="B190" s="81" t="s">
        <v>15</v>
      </c>
      <c r="C190" s="82" t="s">
        <v>228</v>
      </c>
      <c r="D190" s="51">
        <v>0</v>
      </c>
      <c r="E190" s="92">
        <v>57.34</v>
      </c>
      <c r="F190" s="92">
        <v>26.94</v>
      </c>
      <c r="G190" s="92">
        <v>57.46</v>
      </c>
      <c r="H190" s="93">
        <v>24.5</v>
      </c>
      <c r="I190" s="93">
        <f t="shared" si="4"/>
        <v>0.49</v>
      </c>
      <c r="J190" s="92">
        <f t="shared" si="5"/>
        <v>0.45</v>
      </c>
      <c r="K190" s="58">
        <v>192</v>
      </c>
      <c r="L190" s="58">
        <v>770</v>
      </c>
      <c r="M190" s="58">
        <v>38</v>
      </c>
      <c r="N190" s="101">
        <v>0.95</v>
      </c>
      <c r="O190" s="33">
        <v>53</v>
      </c>
      <c r="P190" s="105">
        <v>0</v>
      </c>
      <c r="Q190" s="113">
        <v>0</v>
      </c>
      <c r="R190" s="105">
        <v>0</v>
      </c>
      <c r="S190" s="109">
        <v>41.87</v>
      </c>
      <c r="T190" s="109">
        <v>7.35</v>
      </c>
      <c r="U190" s="109">
        <v>910.85</v>
      </c>
      <c r="V190" s="43">
        <v>1.1161000000000001</v>
      </c>
      <c r="W190" s="44">
        <v>1.5599999999999999E-2</v>
      </c>
    </row>
    <row r="191" spans="1:23" x14ac:dyDescent="0.25">
      <c r="A191" s="80">
        <v>1</v>
      </c>
      <c r="B191" s="81" t="s">
        <v>15</v>
      </c>
      <c r="C191" s="82" t="s">
        <v>229</v>
      </c>
      <c r="D191" s="51">
        <v>0</v>
      </c>
      <c r="E191" s="92">
        <v>57.34</v>
      </c>
      <c r="F191" s="92">
        <v>26.94</v>
      </c>
      <c r="G191" s="92">
        <v>57.45</v>
      </c>
      <c r="H191" s="93">
        <v>24.5</v>
      </c>
      <c r="I191" s="93">
        <f t="shared" si="4"/>
        <v>0.45</v>
      </c>
      <c r="J191" s="92">
        <f t="shared" si="5"/>
        <v>0.41</v>
      </c>
      <c r="K191" s="58">
        <v>192</v>
      </c>
      <c r="L191" s="58">
        <v>770</v>
      </c>
      <c r="M191" s="58">
        <v>38</v>
      </c>
      <c r="N191" s="101">
        <v>0.95</v>
      </c>
      <c r="O191" s="33">
        <v>53</v>
      </c>
      <c r="P191" s="105">
        <v>1.0699999999999999E-2</v>
      </c>
      <c r="Q191" s="113">
        <v>0</v>
      </c>
      <c r="R191" s="105">
        <v>0</v>
      </c>
      <c r="S191" s="109">
        <v>41.87</v>
      </c>
      <c r="T191" s="109">
        <v>7.35</v>
      </c>
      <c r="U191" s="109">
        <v>910.85</v>
      </c>
      <c r="V191" s="43">
        <v>1.1161000000000001</v>
      </c>
      <c r="W191" s="44">
        <v>1.5599999999999999E-2</v>
      </c>
    </row>
    <row r="192" spans="1:23" x14ac:dyDescent="0.25">
      <c r="A192" s="80">
        <v>1</v>
      </c>
      <c r="B192" s="81" t="s">
        <v>15</v>
      </c>
      <c r="C192" s="82" t="s">
        <v>230</v>
      </c>
      <c r="D192" s="51">
        <v>0</v>
      </c>
      <c r="E192" s="92">
        <v>57.34</v>
      </c>
      <c r="F192" s="92">
        <v>26.94</v>
      </c>
      <c r="G192" s="92">
        <v>57.43</v>
      </c>
      <c r="H192" s="93">
        <v>24.5</v>
      </c>
      <c r="I192" s="93">
        <f t="shared" si="4"/>
        <v>0.37</v>
      </c>
      <c r="J192" s="92">
        <f t="shared" si="5"/>
        <v>0.33</v>
      </c>
      <c r="K192" s="58">
        <v>192</v>
      </c>
      <c r="L192" s="58">
        <v>770</v>
      </c>
      <c r="M192" s="58">
        <v>38</v>
      </c>
      <c r="N192" s="101">
        <v>0.95</v>
      </c>
      <c r="O192" s="33">
        <v>53</v>
      </c>
      <c r="P192" s="105">
        <v>0</v>
      </c>
      <c r="Q192" s="113">
        <v>0</v>
      </c>
      <c r="R192" s="105">
        <v>0</v>
      </c>
      <c r="S192" s="109">
        <v>41.87</v>
      </c>
      <c r="T192" s="109">
        <v>7.35</v>
      </c>
      <c r="U192" s="109">
        <v>910.85</v>
      </c>
      <c r="V192" s="43">
        <v>1.1161000000000001</v>
      </c>
      <c r="W192" s="44">
        <v>1.5599999999999999E-2</v>
      </c>
    </row>
    <row r="193" spans="1:23" x14ac:dyDescent="0.25">
      <c r="A193" s="80">
        <v>1</v>
      </c>
      <c r="B193" s="81" t="s">
        <v>15</v>
      </c>
      <c r="C193" s="82" t="s">
        <v>231</v>
      </c>
      <c r="D193" s="51">
        <v>0</v>
      </c>
      <c r="E193" s="92">
        <v>57.34</v>
      </c>
      <c r="F193" s="92">
        <v>26.94</v>
      </c>
      <c r="G193" s="92">
        <v>57.42</v>
      </c>
      <c r="H193" s="93">
        <v>24.5</v>
      </c>
      <c r="I193" s="93">
        <f t="shared" si="4"/>
        <v>0.33</v>
      </c>
      <c r="J193" s="92">
        <f t="shared" si="5"/>
        <v>0.3</v>
      </c>
      <c r="K193" s="58">
        <v>192</v>
      </c>
      <c r="L193" s="58">
        <v>770</v>
      </c>
      <c r="M193" s="58">
        <v>38</v>
      </c>
      <c r="N193" s="101">
        <v>0.95</v>
      </c>
      <c r="O193" s="33">
        <v>53</v>
      </c>
      <c r="P193" s="105">
        <v>2.0299999999999999E-2</v>
      </c>
      <c r="Q193" s="113">
        <v>0</v>
      </c>
      <c r="R193" s="105">
        <v>0</v>
      </c>
      <c r="S193" s="109">
        <v>41.87</v>
      </c>
      <c r="T193" s="109">
        <v>7.35</v>
      </c>
      <c r="U193" s="109">
        <v>910.85</v>
      </c>
      <c r="V193" s="43">
        <v>1.1161000000000001</v>
      </c>
      <c r="W193" s="44">
        <v>1.5599999999999999E-2</v>
      </c>
    </row>
    <row r="194" spans="1:23" x14ac:dyDescent="0.25">
      <c r="A194" s="80">
        <v>1</v>
      </c>
      <c r="B194" s="81" t="s">
        <v>15</v>
      </c>
      <c r="C194" s="82" t="s">
        <v>232</v>
      </c>
      <c r="D194" s="51">
        <v>0</v>
      </c>
      <c r="E194" s="92">
        <v>57.34</v>
      </c>
      <c r="F194" s="92">
        <v>26.94</v>
      </c>
      <c r="G194" s="92">
        <v>57.42</v>
      </c>
      <c r="H194" s="93">
        <v>24.5</v>
      </c>
      <c r="I194" s="93">
        <f t="shared" si="4"/>
        <v>0.33</v>
      </c>
      <c r="J194" s="92">
        <f t="shared" si="5"/>
        <v>0.3</v>
      </c>
      <c r="K194" s="58">
        <v>192</v>
      </c>
      <c r="L194" s="58">
        <v>770</v>
      </c>
      <c r="M194" s="58">
        <v>38</v>
      </c>
      <c r="N194" s="101">
        <v>0.95</v>
      </c>
      <c r="O194" s="33">
        <v>53</v>
      </c>
      <c r="P194" s="105">
        <v>0</v>
      </c>
      <c r="Q194" s="113">
        <v>0</v>
      </c>
      <c r="R194" s="105">
        <v>0</v>
      </c>
      <c r="S194" s="109">
        <v>41.87</v>
      </c>
      <c r="T194" s="109">
        <v>7.35</v>
      </c>
      <c r="U194" s="109">
        <v>910.85</v>
      </c>
      <c r="V194" s="43">
        <v>1.1161000000000001</v>
      </c>
      <c r="W194" s="44">
        <v>1.5599999999999999E-2</v>
      </c>
    </row>
    <row r="195" spans="1:23" x14ac:dyDescent="0.25">
      <c r="A195" s="80">
        <v>1</v>
      </c>
      <c r="B195" s="81" t="s">
        <v>15</v>
      </c>
      <c r="C195" s="82" t="s">
        <v>233</v>
      </c>
      <c r="D195" s="51">
        <v>0</v>
      </c>
      <c r="E195" s="92">
        <v>57.34</v>
      </c>
      <c r="F195" s="92">
        <v>26.94</v>
      </c>
      <c r="G195" s="92">
        <v>57.41</v>
      </c>
      <c r="H195" s="93">
        <v>24.5</v>
      </c>
      <c r="I195" s="93">
        <f t="shared" si="4"/>
        <v>0.28999999999999998</v>
      </c>
      <c r="J195" s="92">
        <f t="shared" si="5"/>
        <v>0.26</v>
      </c>
      <c r="K195" s="58">
        <v>192</v>
      </c>
      <c r="L195" s="58">
        <v>770</v>
      </c>
      <c r="M195" s="58">
        <v>38</v>
      </c>
      <c r="N195" s="101">
        <v>0.95</v>
      </c>
      <c r="O195" s="33">
        <v>53</v>
      </c>
      <c r="P195" s="105">
        <v>5.5199999999999999E-2</v>
      </c>
      <c r="Q195" s="113">
        <v>0</v>
      </c>
      <c r="R195" s="105">
        <v>0</v>
      </c>
      <c r="S195" s="109">
        <v>41.87</v>
      </c>
      <c r="T195" s="109">
        <v>7.35</v>
      </c>
      <c r="U195" s="109">
        <v>910.85</v>
      </c>
      <c r="V195" s="43">
        <v>1.1161000000000001</v>
      </c>
      <c r="W195" s="44">
        <v>1.5599999999999999E-2</v>
      </c>
    </row>
    <row r="196" spans="1:23" x14ac:dyDescent="0.25">
      <c r="A196" s="80">
        <v>1</v>
      </c>
      <c r="B196" s="81" t="s">
        <v>15</v>
      </c>
      <c r="C196" s="82" t="s">
        <v>234</v>
      </c>
      <c r="D196" s="51">
        <v>0</v>
      </c>
      <c r="E196" s="92">
        <v>57.34</v>
      </c>
      <c r="F196" s="92">
        <v>26.94</v>
      </c>
      <c r="G196" s="92">
        <v>57.4</v>
      </c>
      <c r="H196" s="93">
        <v>24.5</v>
      </c>
      <c r="I196" s="93">
        <f t="shared" ref="I196:I205" si="6">100*(G196-E196)/H196</f>
        <v>0.24</v>
      </c>
      <c r="J196" s="92">
        <f t="shared" ref="J196:J206" si="7">100*(G196-E196)/F196</f>
        <v>0.22</v>
      </c>
      <c r="K196" s="58">
        <v>192</v>
      </c>
      <c r="L196" s="58">
        <v>770</v>
      </c>
      <c r="M196" s="58">
        <v>38</v>
      </c>
      <c r="N196" s="101">
        <v>0.95</v>
      </c>
      <c r="O196" s="33">
        <v>53</v>
      </c>
      <c r="P196" s="105">
        <v>3.6600000000000001E-2</v>
      </c>
      <c r="Q196" s="113">
        <v>0</v>
      </c>
      <c r="R196" s="105">
        <v>0</v>
      </c>
      <c r="S196" s="109">
        <v>41.87</v>
      </c>
      <c r="T196" s="109">
        <v>7.35</v>
      </c>
      <c r="U196" s="109">
        <v>910.85</v>
      </c>
      <c r="V196" s="43">
        <v>1.1161000000000001</v>
      </c>
      <c r="W196" s="44">
        <v>1.5599999999999999E-2</v>
      </c>
    </row>
    <row r="197" spans="1:23" x14ac:dyDescent="0.25">
      <c r="A197" s="80">
        <v>1</v>
      </c>
      <c r="B197" s="81" t="s">
        <v>15</v>
      </c>
      <c r="C197" s="82" t="s">
        <v>235</v>
      </c>
      <c r="D197" s="51">
        <v>0</v>
      </c>
      <c r="E197" s="92">
        <v>57.34</v>
      </c>
      <c r="F197" s="92">
        <v>26.94</v>
      </c>
      <c r="G197" s="92">
        <v>57.39</v>
      </c>
      <c r="H197" s="93">
        <v>24.5</v>
      </c>
      <c r="I197" s="93">
        <f t="shared" si="6"/>
        <v>0.2</v>
      </c>
      <c r="J197" s="92">
        <f t="shared" si="7"/>
        <v>0.19</v>
      </c>
      <c r="K197" s="58">
        <v>192</v>
      </c>
      <c r="L197" s="58">
        <v>770</v>
      </c>
      <c r="M197" s="58">
        <v>38</v>
      </c>
      <c r="N197" s="101">
        <v>0.95</v>
      </c>
      <c r="O197" s="33">
        <v>53</v>
      </c>
      <c r="P197" s="105">
        <v>0</v>
      </c>
      <c r="Q197" s="113">
        <v>0</v>
      </c>
      <c r="R197" s="105">
        <v>0</v>
      </c>
      <c r="S197" s="109">
        <v>41.87</v>
      </c>
      <c r="T197" s="109">
        <v>7.35</v>
      </c>
      <c r="U197" s="109">
        <v>910.85</v>
      </c>
      <c r="V197" s="43">
        <v>1.1161000000000001</v>
      </c>
      <c r="W197" s="44">
        <v>1.5599999999999999E-2</v>
      </c>
    </row>
    <row r="198" spans="1:23" x14ac:dyDescent="0.25">
      <c r="A198" s="80">
        <v>1</v>
      </c>
      <c r="B198" s="81" t="s">
        <v>15</v>
      </c>
      <c r="C198" s="82" t="s">
        <v>236</v>
      </c>
      <c r="D198" s="51">
        <v>0</v>
      </c>
      <c r="E198" s="92">
        <v>57.34</v>
      </c>
      <c r="F198" s="92">
        <v>26.94</v>
      </c>
      <c r="G198" s="92">
        <v>57.38</v>
      </c>
      <c r="H198" s="93">
        <v>24.5</v>
      </c>
      <c r="I198" s="93">
        <f t="shared" si="6"/>
        <v>0.16</v>
      </c>
      <c r="J198" s="92">
        <f t="shared" si="7"/>
        <v>0.15</v>
      </c>
      <c r="K198" s="58">
        <v>192</v>
      </c>
      <c r="L198" s="58">
        <v>770</v>
      </c>
      <c r="M198" s="58">
        <v>38</v>
      </c>
      <c r="N198" s="101">
        <v>0.95</v>
      </c>
      <c r="O198" s="33">
        <v>53</v>
      </c>
      <c r="P198" s="105">
        <v>0</v>
      </c>
      <c r="Q198" s="113">
        <v>0</v>
      </c>
      <c r="R198" s="105">
        <v>0</v>
      </c>
      <c r="S198" s="109">
        <v>41.87</v>
      </c>
      <c r="T198" s="109">
        <v>7.35</v>
      </c>
      <c r="U198" s="109">
        <v>910.85</v>
      </c>
      <c r="V198" s="43">
        <v>1.1161000000000001</v>
      </c>
      <c r="W198" s="44">
        <v>1.5599999999999999E-2</v>
      </c>
    </row>
    <row r="199" spans="1:23" x14ac:dyDescent="0.25">
      <c r="A199" s="80">
        <v>1</v>
      </c>
      <c r="B199" s="81" t="s">
        <v>15</v>
      </c>
      <c r="C199" s="82" t="s">
        <v>237</v>
      </c>
      <c r="D199" s="51">
        <v>0</v>
      </c>
      <c r="E199" s="92">
        <v>57.34</v>
      </c>
      <c r="F199" s="92">
        <v>26.94</v>
      </c>
      <c r="G199" s="92">
        <v>57.38</v>
      </c>
      <c r="H199" s="93">
        <v>24.5</v>
      </c>
      <c r="I199" s="93">
        <f t="shared" si="6"/>
        <v>0.16</v>
      </c>
      <c r="J199" s="92">
        <f t="shared" si="7"/>
        <v>0.15</v>
      </c>
      <c r="K199" s="58">
        <v>192</v>
      </c>
      <c r="L199" s="58">
        <v>770</v>
      </c>
      <c r="M199" s="58">
        <v>38</v>
      </c>
      <c r="N199" s="101">
        <v>0.95</v>
      </c>
      <c r="O199" s="33">
        <v>53</v>
      </c>
      <c r="P199" s="105">
        <v>0</v>
      </c>
      <c r="Q199" s="113">
        <v>0</v>
      </c>
      <c r="R199" s="105">
        <v>0</v>
      </c>
      <c r="S199" s="109">
        <v>41.87</v>
      </c>
      <c r="T199" s="109">
        <v>7.35</v>
      </c>
      <c r="U199" s="109">
        <v>910.85</v>
      </c>
      <c r="V199" s="43">
        <v>1.1161000000000001</v>
      </c>
      <c r="W199" s="44">
        <v>1.5599999999999999E-2</v>
      </c>
    </row>
    <row r="200" spans="1:23" x14ac:dyDescent="0.25">
      <c r="A200" s="80">
        <v>1</v>
      </c>
      <c r="B200" s="81" t="s">
        <v>15</v>
      </c>
      <c r="C200" s="82" t="s">
        <v>238</v>
      </c>
      <c r="D200" s="51">
        <v>0</v>
      </c>
      <c r="E200" s="92">
        <v>57.34</v>
      </c>
      <c r="F200" s="92">
        <v>26.94</v>
      </c>
      <c r="G200" s="92">
        <v>57.37</v>
      </c>
      <c r="H200" s="93">
        <v>24.5</v>
      </c>
      <c r="I200" s="93">
        <f t="shared" si="6"/>
        <v>0.12</v>
      </c>
      <c r="J200" s="92">
        <f t="shared" si="7"/>
        <v>0.11</v>
      </c>
      <c r="K200" s="58">
        <v>192</v>
      </c>
      <c r="L200" s="58">
        <v>770</v>
      </c>
      <c r="M200" s="58">
        <v>38</v>
      </c>
      <c r="N200" s="101">
        <v>0.95</v>
      </c>
      <c r="O200" s="33">
        <v>53</v>
      </c>
      <c r="P200" s="105">
        <v>0</v>
      </c>
      <c r="Q200" s="113">
        <v>0</v>
      </c>
      <c r="R200" s="105">
        <v>0</v>
      </c>
      <c r="S200" s="109">
        <v>41.87</v>
      </c>
      <c r="T200" s="109">
        <v>7.35</v>
      </c>
      <c r="U200" s="109">
        <v>910.85</v>
      </c>
      <c r="V200" s="43">
        <v>1.1161000000000001</v>
      </c>
      <c r="W200" s="44">
        <v>1.5599999999999999E-2</v>
      </c>
    </row>
    <row r="201" spans="1:23" x14ac:dyDescent="0.25">
      <c r="A201" s="80">
        <v>1</v>
      </c>
      <c r="B201" s="81" t="s">
        <v>15</v>
      </c>
      <c r="C201" s="82" t="s">
        <v>239</v>
      </c>
      <c r="D201" s="51">
        <v>0</v>
      </c>
      <c r="E201" s="92">
        <v>57.34</v>
      </c>
      <c r="F201" s="92">
        <v>26.94</v>
      </c>
      <c r="G201" s="92">
        <v>57.37</v>
      </c>
      <c r="H201" s="93">
        <v>24.5</v>
      </c>
      <c r="I201" s="93">
        <f t="shared" si="6"/>
        <v>0.12</v>
      </c>
      <c r="J201" s="92">
        <f t="shared" si="7"/>
        <v>0.11</v>
      </c>
      <c r="K201" s="58">
        <v>192</v>
      </c>
      <c r="L201" s="58">
        <v>770</v>
      </c>
      <c r="M201" s="58">
        <v>38</v>
      </c>
      <c r="N201" s="101">
        <v>0.95</v>
      </c>
      <c r="O201" s="33">
        <v>53</v>
      </c>
      <c r="P201" s="105">
        <v>2.5499999999999998E-2</v>
      </c>
      <c r="Q201" s="113">
        <v>0</v>
      </c>
      <c r="R201" s="105">
        <v>0</v>
      </c>
      <c r="S201" s="109">
        <v>41.87</v>
      </c>
      <c r="T201" s="109">
        <v>7.35</v>
      </c>
      <c r="U201" s="109">
        <v>910.85</v>
      </c>
      <c r="V201" s="43">
        <v>1.1161000000000001</v>
      </c>
      <c r="W201" s="44">
        <v>1.5599999999999999E-2</v>
      </c>
    </row>
    <row r="202" spans="1:23" x14ac:dyDescent="0.25">
      <c r="A202" s="80">
        <v>1</v>
      </c>
      <c r="B202" s="81" t="s">
        <v>15</v>
      </c>
      <c r="C202" s="82" t="s">
        <v>240</v>
      </c>
      <c r="D202" s="51">
        <v>0</v>
      </c>
      <c r="E202" s="92">
        <v>57.34</v>
      </c>
      <c r="F202" s="92">
        <v>26.94</v>
      </c>
      <c r="G202" s="92">
        <v>57.36</v>
      </c>
      <c r="H202" s="93">
        <v>24.5</v>
      </c>
      <c r="I202" s="93">
        <f t="shared" si="6"/>
        <v>0.08</v>
      </c>
      <c r="J202" s="92">
        <f t="shared" si="7"/>
        <v>7.0000000000000007E-2</v>
      </c>
      <c r="K202" s="58">
        <v>192</v>
      </c>
      <c r="L202" s="58">
        <v>770</v>
      </c>
      <c r="M202" s="58">
        <v>38</v>
      </c>
      <c r="N202" s="101">
        <v>0.95</v>
      </c>
      <c r="O202" s="33">
        <v>53</v>
      </c>
      <c r="P202" s="105">
        <v>0</v>
      </c>
      <c r="Q202" s="113">
        <v>0</v>
      </c>
      <c r="R202" s="105">
        <v>0</v>
      </c>
      <c r="S202" s="109">
        <v>41.87</v>
      </c>
      <c r="T202" s="109">
        <v>7.35</v>
      </c>
      <c r="U202" s="109">
        <v>910.85</v>
      </c>
      <c r="V202" s="43">
        <v>1.1161000000000001</v>
      </c>
      <c r="W202" s="44">
        <v>1.5599999999999999E-2</v>
      </c>
    </row>
    <row r="203" spans="1:23" x14ac:dyDescent="0.25">
      <c r="A203" s="80">
        <v>1</v>
      </c>
      <c r="B203" s="81" t="s">
        <v>15</v>
      </c>
      <c r="C203" s="82" t="s">
        <v>241</v>
      </c>
      <c r="D203" s="51">
        <v>0</v>
      </c>
      <c r="E203" s="92">
        <v>57.34</v>
      </c>
      <c r="F203" s="92">
        <v>26.94</v>
      </c>
      <c r="G203" s="92">
        <v>57.36</v>
      </c>
      <c r="H203" s="93">
        <v>24.5</v>
      </c>
      <c r="I203" s="93">
        <f t="shared" si="6"/>
        <v>0.08</v>
      </c>
      <c r="J203" s="92">
        <f t="shared" si="7"/>
        <v>7.0000000000000007E-2</v>
      </c>
      <c r="K203" s="58">
        <v>192</v>
      </c>
      <c r="L203" s="58">
        <v>770</v>
      </c>
      <c r="M203" s="58">
        <v>38</v>
      </c>
      <c r="N203" s="101">
        <v>0.95</v>
      </c>
      <c r="O203" s="33">
        <v>53</v>
      </c>
      <c r="P203" s="105">
        <v>2.7099999999999999E-2</v>
      </c>
      <c r="Q203" s="113">
        <v>0.01</v>
      </c>
      <c r="R203" s="105">
        <v>0</v>
      </c>
      <c r="S203" s="109">
        <v>41.87</v>
      </c>
      <c r="T203" s="109">
        <v>7.35</v>
      </c>
      <c r="U203" s="109">
        <v>910.85</v>
      </c>
      <c r="V203" s="43">
        <v>1.1161000000000001</v>
      </c>
      <c r="W203" s="44">
        <v>1.5599999999999999E-2</v>
      </c>
    </row>
    <row r="204" spans="1:23" x14ac:dyDescent="0.25">
      <c r="A204" s="80">
        <v>1</v>
      </c>
      <c r="B204" s="81" t="s">
        <v>15</v>
      </c>
      <c r="C204" s="82" t="s">
        <v>242</v>
      </c>
      <c r="D204" s="51">
        <v>0</v>
      </c>
      <c r="E204" s="92">
        <v>57.34</v>
      </c>
      <c r="F204" s="92">
        <v>26.94</v>
      </c>
      <c r="G204" s="92">
        <v>57.35</v>
      </c>
      <c r="H204" s="93">
        <v>24.5</v>
      </c>
      <c r="I204" s="93">
        <f t="shared" si="6"/>
        <v>0.04</v>
      </c>
      <c r="J204" s="92">
        <f t="shared" si="7"/>
        <v>0.04</v>
      </c>
      <c r="K204" s="58">
        <v>192</v>
      </c>
      <c r="L204" s="58">
        <v>770</v>
      </c>
      <c r="M204" s="58">
        <v>38</v>
      </c>
      <c r="N204" s="101">
        <v>0.95</v>
      </c>
      <c r="O204" s="33">
        <v>53</v>
      </c>
      <c r="P204" s="105">
        <v>0</v>
      </c>
      <c r="Q204" s="113">
        <v>0</v>
      </c>
      <c r="R204" s="105">
        <v>0</v>
      </c>
      <c r="S204" s="109">
        <v>41.87</v>
      </c>
      <c r="T204" s="109">
        <v>7.35</v>
      </c>
      <c r="U204" s="109">
        <v>910.85</v>
      </c>
      <c r="V204" s="43">
        <v>1.1161000000000001</v>
      </c>
      <c r="W204" s="44">
        <v>1.5599999999999999E-2</v>
      </c>
    </row>
    <row r="205" spans="1:23" x14ac:dyDescent="0.25">
      <c r="A205" s="80">
        <v>1</v>
      </c>
      <c r="B205" s="81" t="s">
        <v>15</v>
      </c>
      <c r="C205" s="82" t="s">
        <v>243</v>
      </c>
      <c r="D205" s="51">
        <v>0</v>
      </c>
      <c r="E205" s="92">
        <v>57.34</v>
      </c>
      <c r="F205" s="92">
        <v>26.94</v>
      </c>
      <c r="G205" s="92">
        <v>57.35</v>
      </c>
      <c r="H205" s="93">
        <v>24.5</v>
      </c>
      <c r="I205" s="93">
        <f t="shared" si="6"/>
        <v>0.04</v>
      </c>
      <c r="J205" s="92">
        <f t="shared" si="7"/>
        <v>0.04</v>
      </c>
      <c r="K205" s="58">
        <v>192</v>
      </c>
      <c r="L205" s="58">
        <v>770</v>
      </c>
      <c r="M205" s="58">
        <v>38</v>
      </c>
      <c r="N205" s="101">
        <v>0.95</v>
      </c>
      <c r="O205" s="33">
        <v>53</v>
      </c>
      <c r="P205" s="105">
        <v>2.8E-3</v>
      </c>
      <c r="Q205" s="113">
        <v>0</v>
      </c>
      <c r="R205" s="105">
        <v>0</v>
      </c>
      <c r="S205" s="109">
        <v>41.87</v>
      </c>
      <c r="T205" s="109">
        <v>7.35</v>
      </c>
      <c r="U205" s="109">
        <v>910.85</v>
      </c>
      <c r="V205" s="43">
        <v>1.1161000000000001</v>
      </c>
      <c r="W205" s="44">
        <v>1.5599999999999999E-2</v>
      </c>
    </row>
    <row r="206" spans="1:23" x14ac:dyDescent="0.25">
      <c r="A206" s="83">
        <v>1</v>
      </c>
      <c r="B206" s="84" t="s">
        <v>15</v>
      </c>
      <c r="C206" s="85" t="s">
        <v>244</v>
      </c>
      <c r="D206" s="86">
        <v>0</v>
      </c>
      <c r="E206" s="94">
        <v>57.34</v>
      </c>
      <c r="F206" s="94">
        <v>26.94</v>
      </c>
      <c r="G206" s="94">
        <v>57.34</v>
      </c>
      <c r="H206" s="94">
        <v>24.5</v>
      </c>
      <c r="I206" s="94">
        <f>100*(G206-E206)/H206</f>
        <v>0</v>
      </c>
      <c r="J206" s="94">
        <f t="shared" si="7"/>
        <v>0</v>
      </c>
      <c r="K206" s="61">
        <v>192</v>
      </c>
      <c r="L206" s="61">
        <v>770</v>
      </c>
      <c r="M206" s="61">
        <v>38</v>
      </c>
      <c r="N206" s="102">
        <v>0.95</v>
      </c>
      <c r="O206" s="34">
        <v>53</v>
      </c>
      <c r="P206" s="106">
        <v>0</v>
      </c>
      <c r="Q206" s="114">
        <v>0</v>
      </c>
      <c r="R206" s="106">
        <v>0</v>
      </c>
      <c r="S206" s="110">
        <v>41.87</v>
      </c>
      <c r="T206" s="110">
        <v>7.35</v>
      </c>
      <c r="U206" s="110">
        <v>910.85</v>
      </c>
      <c r="V206" s="45">
        <v>1.1161000000000001</v>
      </c>
      <c r="W206" s="46">
        <v>1.5599999999999999E-2</v>
      </c>
    </row>
    <row r="207" spans="1:23" x14ac:dyDescent="0.25">
      <c r="A207" s="80">
        <v>2</v>
      </c>
      <c r="B207" s="81" t="s">
        <v>16</v>
      </c>
      <c r="C207" s="82" t="s">
        <v>245</v>
      </c>
      <c r="D207" s="51">
        <v>0</v>
      </c>
      <c r="E207" s="92">
        <v>69.349999999999994</v>
      </c>
      <c r="F207" s="92">
        <v>38.950000000000003</v>
      </c>
      <c r="G207" s="92">
        <v>79.28</v>
      </c>
      <c r="H207" s="92">
        <v>24.5</v>
      </c>
      <c r="I207" s="92">
        <f>100*(G207-E207)/H207</f>
        <v>40.53</v>
      </c>
      <c r="J207" s="92">
        <f>100*(G207-E207)/F207</f>
        <v>25.49</v>
      </c>
      <c r="K207" s="58">
        <v>0</v>
      </c>
      <c r="L207" s="58">
        <v>0</v>
      </c>
      <c r="M207" s="58">
        <v>1000</v>
      </c>
      <c r="N207" s="101">
        <v>1.44</v>
      </c>
      <c r="O207" s="33">
        <v>0</v>
      </c>
      <c r="P207" s="105">
        <v>0.1452</v>
      </c>
      <c r="Q207" s="113">
        <v>0.59</v>
      </c>
      <c r="R207" s="105">
        <v>1.1999999999999999E-3</v>
      </c>
      <c r="S207" s="109">
        <v>22.93</v>
      </c>
      <c r="T207" s="109">
        <v>56.23</v>
      </c>
      <c r="U207" s="109">
        <v>108.1</v>
      </c>
      <c r="V207" s="43">
        <v>1.0818000000000001</v>
      </c>
      <c r="W207" s="44">
        <v>-9.4999999999999998E-3</v>
      </c>
    </row>
    <row r="208" spans="1:23" x14ac:dyDescent="0.25">
      <c r="A208" s="80">
        <v>2</v>
      </c>
      <c r="B208" s="81" t="s">
        <v>16</v>
      </c>
      <c r="C208" s="82" t="s">
        <v>246</v>
      </c>
      <c r="D208" s="51">
        <v>0</v>
      </c>
      <c r="E208" s="92">
        <v>69.349999999999994</v>
      </c>
      <c r="F208" s="92">
        <v>38.950000000000003</v>
      </c>
      <c r="G208" s="92">
        <v>79.19</v>
      </c>
      <c r="H208" s="92">
        <v>24.5</v>
      </c>
      <c r="I208" s="92">
        <f>100*(G208-E208)/H208</f>
        <v>40.159999999999997</v>
      </c>
      <c r="J208" s="92">
        <f>100*(G208-E208)/F208</f>
        <v>25.26</v>
      </c>
      <c r="K208" s="58">
        <v>0</v>
      </c>
      <c r="L208" s="58">
        <v>0</v>
      </c>
      <c r="M208" s="58">
        <v>1000</v>
      </c>
      <c r="N208" s="101">
        <v>1.44</v>
      </c>
      <c r="O208" s="33">
        <v>0</v>
      </c>
      <c r="P208" s="105">
        <v>0.13719999999999999</v>
      </c>
      <c r="Q208" s="113">
        <v>0.56999999999999995</v>
      </c>
      <c r="R208" s="105">
        <v>1E-3</v>
      </c>
      <c r="S208" s="109">
        <v>22.93</v>
      </c>
      <c r="T208" s="109">
        <v>56.23</v>
      </c>
      <c r="U208" s="109">
        <v>108.1</v>
      </c>
      <c r="V208" s="43">
        <v>1.0818000000000001</v>
      </c>
      <c r="W208" s="44">
        <v>-9.4999999999999998E-3</v>
      </c>
    </row>
    <row r="209" spans="1:23" x14ac:dyDescent="0.25">
      <c r="A209" s="80">
        <v>2</v>
      </c>
      <c r="B209" s="81" t="s">
        <v>16</v>
      </c>
      <c r="C209" s="82" t="s">
        <v>247</v>
      </c>
      <c r="D209" s="51">
        <v>0</v>
      </c>
      <c r="E209" s="92">
        <v>69.349999999999994</v>
      </c>
      <c r="F209" s="92">
        <v>38.950000000000003</v>
      </c>
      <c r="G209" s="92">
        <v>79.08</v>
      </c>
      <c r="H209" s="92">
        <v>24.5</v>
      </c>
      <c r="I209" s="92">
        <f t="shared" ref="I209:I272" si="8">100*(G209-E209)/H209</f>
        <v>39.71</v>
      </c>
      <c r="J209" s="92">
        <f t="shared" ref="J209:J272" si="9">100*(G209-E209)/F209</f>
        <v>24.98</v>
      </c>
      <c r="K209" s="58">
        <v>0</v>
      </c>
      <c r="L209" s="58">
        <v>0</v>
      </c>
      <c r="M209" s="58">
        <v>1000</v>
      </c>
      <c r="N209" s="101">
        <v>1.44</v>
      </c>
      <c r="O209" s="33">
        <v>0</v>
      </c>
      <c r="P209" s="105">
        <v>0.1331</v>
      </c>
      <c r="Q209" s="113">
        <v>0.56000000000000005</v>
      </c>
      <c r="R209" s="105">
        <v>1E-3</v>
      </c>
      <c r="S209" s="109">
        <v>22.93</v>
      </c>
      <c r="T209" s="109">
        <v>56.23</v>
      </c>
      <c r="U209" s="109">
        <v>108.1</v>
      </c>
      <c r="V209" s="43">
        <v>1.0818000000000001</v>
      </c>
      <c r="W209" s="44">
        <v>-9.4999999999999998E-3</v>
      </c>
    </row>
    <row r="210" spans="1:23" x14ac:dyDescent="0.25">
      <c r="A210" s="80">
        <v>2</v>
      </c>
      <c r="B210" s="81" t="s">
        <v>16</v>
      </c>
      <c r="C210" s="82" t="s">
        <v>248</v>
      </c>
      <c r="D210" s="51">
        <v>0</v>
      </c>
      <c r="E210" s="92">
        <v>69.349999999999994</v>
      </c>
      <c r="F210" s="92">
        <v>38.950000000000003</v>
      </c>
      <c r="G210" s="92">
        <v>78.98</v>
      </c>
      <c r="H210" s="92">
        <v>24.5</v>
      </c>
      <c r="I210" s="92">
        <f t="shared" si="8"/>
        <v>39.31</v>
      </c>
      <c r="J210" s="92">
        <f t="shared" si="9"/>
        <v>24.72</v>
      </c>
      <c r="K210" s="58">
        <v>0</v>
      </c>
      <c r="L210" s="58">
        <v>0</v>
      </c>
      <c r="M210" s="58">
        <v>1000</v>
      </c>
      <c r="N210" s="101">
        <v>1.44</v>
      </c>
      <c r="O210" s="33">
        <v>0</v>
      </c>
      <c r="P210" s="105">
        <v>0.13239999999999999</v>
      </c>
      <c r="Q210" s="113">
        <v>0.55000000000000004</v>
      </c>
      <c r="R210" s="105">
        <v>1E-3</v>
      </c>
      <c r="S210" s="109">
        <v>22.93</v>
      </c>
      <c r="T210" s="109">
        <v>56.23</v>
      </c>
      <c r="U210" s="109">
        <v>108.1</v>
      </c>
      <c r="V210" s="43">
        <v>1.0818000000000001</v>
      </c>
      <c r="W210" s="44">
        <v>-9.4999999999999998E-3</v>
      </c>
    </row>
    <row r="211" spans="1:23" x14ac:dyDescent="0.25">
      <c r="A211" s="80">
        <v>2</v>
      </c>
      <c r="B211" s="81" t="s">
        <v>16</v>
      </c>
      <c r="C211" s="82" t="s">
        <v>249</v>
      </c>
      <c r="D211" s="51">
        <v>0</v>
      </c>
      <c r="E211" s="92">
        <v>69.349999999999994</v>
      </c>
      <c r="F211" s="92">
        <v>38.950000000000003</v>
      </c>
      <c r="G211" s="92">
        <v>78.88</v>
      </c>
      <c r="H211" s="92">
        <v>24.5</v>
      </c>
      <c r="I211" s="92">
        <f t="shared" si="8"/>
        <v>38.9</v>
      </c>
      <c r="J211" s="92">
        <f t="shared" si="9"/>
        <v>24.47</v>
      </c>
      <c r="K211" s="58">
        <v>0</v>
      </c>
      <c r="L211" s="58">
        <v>0</v>
      </c>
      <c r="M211" s="58">
        <v>1000</v>
      </c>
      <c r="N211" s="101">
        <v>1.44</v>
      </c>
      <c r="O211" s="33">
        <v>0</v>
      </c>
      <c r="P211" s="105">
        <v>0.12740000000000001</v>
      </c>
      <c r="Q211" s="113">
        <v>0.55000000000000004</v>
      </c>
      <c r="R211" s="105">
        <v>1E-3</v>
      </c>
      <c r="S211" s="109">
        <v>22.93</v>
      </c>
      <c r="T211" s="109">
        <v>56.23</v>
      </c>
      <c r="U211" s="109">
        <v>108.1</v>
      </c>
      <c r="V211" s="43">
        <v>1.0818000000000001</v>
      </c>
      <c r="W211" s="44">
        <v>-9.4999999999999998E-3</v>
      </c>
    </row>
    <row r="212" spans="1:23" x14ac:dyDescent="0.25">
      <c r="A212" s="80">
        <v>2</v>
      </c>
      <c r="B212" s="81" t="s">
        <v>16</v>
      </c>
      <c r="C212" s="82" t="s">
        <v>250</v>
      </c>
      <c r="D212" s="51">
        <v>0</v>
      </c>
      <c r="E212" s="92">
        <v>69.349999999999994</v>
      </c>
      <c r="F212" s="92">
        <v>38.950000000000003</v>
      </c>
      <c r="G212" s="92">
        <v>78.77</v>
      </c>
      <c r="H212" s="92">
        <v>24.5</v>
      </c>
      <c r="I212" s="92">
        <f t="shared" si="8"/>
        <v>38.450000000000003</v>
      </c>
      <c r="J212" s="92">
        <f t="shared" si="9"/>
        <v>24.18</v>
      </c>
      <c r="K212" s="58">
        <v>0</v>
      </c>
      <c r="L212" s="58">
        <v>0</v>
      </c>
      <c r="M212" s="58">
        <v>1000</v>
      </c>
      <c r="N212" s="101">
        <v>1.44</v>
      </c>
      <c r="O212" s="33">
        <v>0</v>
      </c>
      <c r="P212" s="105">
        <v>0.1295</v>
      </c>
      <c r="Q212" s="113">
        <v>0.54</v>
      </c>
      <c r="R212" s="105">
        <v>1.1000000000000001E-3</v>
      </c>
      <c r="S212" s="109">
        <v>22.93</v>
      </c>
      <c r="T212" s="109">
        <v>56.23</v>
      </c>
      <c r="U212" s="109">
        <v>108.1</v>
      </c>
      <c r="V212" s="43">
        <v>1.0818000000000001</v>
      </c>
      <c r="W212" s="44">
        <v>-9.4999999999999998E-3</v>
      </c>
    </row>
    <row r="213" spans="1:23" x14ac:dyDescent="0.25">
      <c r="A213" s="80">
        <v>2</v>
      </c>
      <c r="B213" s="81" t="s">
        <v>16</v>
      </c>
      <c r="C213" s="82" t="s">
        <v>251</v>
      </c>
      <c r="D213" s="51">
        <v>0</v>
      </c>
      <c r="E213" s="92">
        <v>69.349999999999994</v>
      </c>
      <c r="F213" s="92">
        <v>38.950000000000003</v>
      </c>
      <c r="G213" s="92">
        <v>78.67</v>
      </c>
      <c r="H213" s="92">
        <v>24.5</v>
      </c>
      <c r="I213" s="92">
        <f t="shared" si="8"/>
        <v>38.04</v>
      </c>
      <c r="J213" s="92">
        <f t="shared" si="9"/>
        <v>23.93</v>
      </c>
      <c r="K213" s="58">
        <v>0</v>
      </c>
      <c r="L213" s="58">
        <v>0</v>
      </c>
      <c r="M213" s="58">
        <v>1000</v>
      </c>
      <c r="N213" s="101">
        <v>1.44</v>
      </c>
      <c r="O213" s="33">
        <v>0</v>
      </c>
      <c r="P213" s="105">
        <v>0.12620000000000001</v>
      </c>
      <c r="Q213" s="113">
        <v>0.54</v>
      </c>
      <c r="R213" s="105">
        <v>1.1000000000000001E-3</v>
      </c>
      <c r="S213" s="109">
        <v>22.93</v>
      </c>
      <c r="T213" s="109">
        <v>56.23</v>
      </c>
      <c r="U213" s="109">
        <v>108.1</v>
      </c>
      <c r="V213" s="43">
        <v>1.0818000000000001</v>
      </c>
      <c r="W213" s="44">
        <v>-9.4999999999999998E-3</v>
      </c>
    </row>
    <row r="214" spans="1:23" x14ac:dyDescent="0.25">
      <c r="A214" s="80">
        <v>2</v>
      </c>
      <c r="B214" s="81" t="s">
        <v>16</v>
      </c>
      <c r="C214" s="82" t="s">
        <v>252</v>
      </c>
      <c r="D214" s="51">
        <v>0</v>
      </c>
      <c r="E214" s="92">
        <v>69.349999999999994</v>
      </c>
      <c r="F214" s="92">
        <v>38.950000000000003</v>
      </c>
      <c r="G214" s="92">
        <v>78.56</v>
      </c>
      <c r="H214" s="92">
        <v>24.5</v>
      </c>
      <c r="I214" s="92">
        <f t="shared" si="8"/>
        <v>37.590000000000003</v>
      </c>
      <c r="J214" s="92">
        <f t="shared" si="9"/>
        <v>23.65</v>
      </c>
      <c r="K214" s="58">
        <v>0</v>
      </c>
      <c r="L214" s="58">
        <v>0</v>
      </c>
      <c r="M214" s="58">
        <v>1000</v>
      </c>
      <c r="N214" s="101">
        <v>1.44</v>
      </c>
      <c r="O214" s="33">
        <v>0</v>
      </c>
      <c r="P214" s="105">
        <v>0.12239999999999999</v>
      </c>
      <c r="Q214" s="113">
        <v>0.54</v>
      </c>
      <c r="R214" s="105">
        <v>1.1000000000000001E-3</v>
      </c>
      <c r="S214" s="109">
        <v>22.93</v>
      </c>
      <c r="T214" s="109">
        <v>56.23</v>
      </c>
      <c r="U214" s="109">
        <v>108.1</v>
      </c>
      <c r="V214" s="43">
        <v>1.0818000000000001</v>
      </c>
      <c r="W214" s="44">
        <v>-9.4999999999999998E-3</v>
      </c>
    </row>
    <row r="215" spans="1:23" x14ac:dyDescent="0.25">
      <c r="A215" s="80">
        <v>2</v>
      </c>
      <c r="B215" s="81" t="s">
        <v>16</v>
      </c>
      <c r="C215" s="82" t="s">
        <v>253</v>
      </c>
      <c r="D215" s="51">
        <v>0</v>
      </c>
      <c r="E215" s="92">
        <v>69.349999999999994</v>
      </c>
      <c r="F215" s="92">
        <v>38.950000000000003</v>
      </c>
      <c r="G215" s="92">
        <v>78.459999999999994</v>
      </c>
      <c r="H215" s="92">
        <v>24.5</v>
      </c>
      <c r="I215" s="92">
        <f t="shared" si="8"/>
        <v>37.18</v>
      </c>
      <c r="J215" s="92">
        <f t="shared" si="9"/>
        <v>23.39</v>
      </c>
      <c r="K215" s="58">
        <v>0</v>
      </c>
      <c r="L215" s="58">
        <v>0</v>
      </c>
      <c r="M215" s="58">
        <v>1000</v>
      </c>
      <c r="N215" s="101">
        <v>1.44</v>
      </c>
      <c r="O215" s="33">
        <v>0</v>
      </c>
      <c r="P215" s="105">
        <v>0.1221</v>
      </c>
      <c r="Q215" s="113">
        <v>0.54</v>
      </c>
      <c r="R215" s="105">
        <v>1.1000000000000001E-3</v>
      </c>
      <c r="S215" s="109">
        <v>22.93</v>
      </c>
      <c r="T215" s="109">
        <v>56.23</v>
      </c>
      <c r="U215" s="109">
        <v>108.1</v>
      </c>
      <c r="V215" s="43">
        <v>1.0818000000000001</v>
      </c>
      <c r="W215" s="44">
        <v>-9.4999999999999998E-3</v>
      </c>
    </row>
    <row r="216" spans="1:23" x14ac:dyDescent="0.25">
      <c r="A216" s="80">
        <v>2</v>
      </c>
      <c r="B216" s="81" t="s">
        <v>16</v>
      </c>
      <c r="C216" s="82" t="s">
        <v>254</v>
      </c>
      <c r="D216" s="51">
        <v>0</v>
      </c>
      <c r="E216" s="92">
        <v>69.349999999999994</v>
      </c>
      <c r="F216" s="92">
        <v>38.950000000000003</v>
      </c>
      <c r="G216" s="92">
        <v>78.349999999999994</v>
      </c>
      <c r="H216" s="92">
        <v>24.5</v>
      </c>
      <c r="I216" s="92">
        <f t="shared" si="8"/>
        <v>36.729999999999997</v>
      </c>
      <c r="J216" s="92">
        <f t="shared" si="9"/>
        <v>23.11</v>
      </c>
      <c r="K216" s="58">
        <v>0</v>
      </c>
      <c r="L216" s="58">
        <v>0</v>
      </c>
      <c r="M216" s="58">
        <v>1000</v>
      </c>
      <c r="N216" s="101">
        <v>1.44</v>
      </c>
      <c r="O216" s="33">
        <v>0</v>
      </c>
      <c r="P216" s="105">
        <v>0.1203</v>
      </c>
      <c r="Q216" s="113">
        <v>0.53</v>
      </c>
      <c r="R216" s="105">
        <v>1.1000000000000001E-3</v>
      </c>
      <c r="S216" s="109">
        <v>22.93</v>
      </c>
      <c r="T216" s="109">
        <v>56.23</v>
      </c>
      <c r="U216" s="109">
        <v>108.1</v>
      </c>
      <c r="V216" s="43">
        <v>1.0818000000000001</v>
      </c>
      <c r="W216" s="44">
        <v>-9.4999999999999998E-3</v>
      </c>
    </row>
    <row r="217" spans="1:23" x14ac:dyDescent="0.25">
      <c r="A217" s="80">
        <v>2</v>
      </c>
      <c r="B217" s="81" t="s">
        <v>16</v>
      </c>
      <c r="C217" s="82" t="s">
        <v>255</v>
      </c>
      <c r="D217" s="51">
        <v>0</v>
      </c>
      <c r="E217" s="92">
        <v>69.349999999999994</v>
      </c>
      <c r="F217" s="92">
        <v>38.950000000000003</v>
      </c>
      <c r="G217" s="92">
        <v>78.239999999999995</v>
      </c>
      <c r="H217" s="92">
        <v>24.5</v>
      </c>
      <c r="I217" s="92">
        <f t="shared" si="8"/>
        <v>36.29</v>
      </c>
      <c r="J217" s="92">
        <f t="shared" si="9"/>
        <v>22.82</v>
      </c>
      <c r="K217" s="58">
        <v>0</v>
      </c>
      <c r="L217" s="58">
        <v>0</v>
      </c>
      <c r="M217" s="58">
        <v>1000</v>
      </c>
      <c r="N217" s="101">
        <v>1.44</v>
      </c>
      <c r="O217" s="33">
        <v>0</v>
      </c>
      <c r="P217" s="105">
        <v>0.1192</v>
      </c>
      <c r="Q217" s="113">
        <v>0.53</v>
      </c>
      <c r="R217" s="105">
        <v>1.1000000000000001E-3</v>
      </c>
      <c r="S217" s="109">
        <v>22.93</v>
      </c>
      <c r="T217" s="109">
        <v>56.23</v>
      </c>
      <c r="U217" s="109">
        <v>108.1</v>
      </c>
      <c r="V217" s="43">
        <v>1.0818000000000001</v>
      </c>
      <c r="W217" s="44">
        <v>-9.4999999999999998E-3</v>
      </c>
    </row>
    <row r="218" spans="1:23" x14ac:dyDescent="0.25">
      <c r="A218" s="80">
        <v>2</v>
      </c>
      <c r="B218" s="81" t="s">
        <v>16</v>
      </c>
      <c r="C218" s="82" t="s">
        <v>256</v>
      </c>
      <c r="D218" s="51">
        <v>0</v>
      </c>
      <c r="E218" s="92">
        <v>69.349999999999994</v>
      </c>
      <c r="F218" s="92">
        <v>38.950000000000003</v>
      </c>
      <c r="G218" s="92">
        <v>78.13</v>
      </c>
      <c r="H218" s="92">
        <v>24.5</v>
      </c>
      <c r="I218" s="92">
        <f t="shared" si="8"/>
        <v>35.840000000000003</v>
      </c>
      <c r="J218" s="92">
        <f t="shared" si="9"/>
        <v>22.54</v>
      </c>
      <c r="K218" s="58">
        <v>0</v>
      </c>
      <c r="L218" s="58">
        <v>0</v>
      </c>
      <c r="M218" s="58">
        <v>1000</v>
      </c>
      <c r="N218" s="101">
        <v>1.44</v>
      </c>
      <c r="O218" s="33">
        <v>0</v>
      </c>
      <c r="P218" s="105">
        <v>0.1187</v>
      </c>
      <c r="Q218" s="113">
        <v>0.53</v>
      </c>
      <c r="R218" s="105">
        <v>1.1000000000000001E-3</v>
      </c>
      <c r="S218" s="109">
        <v>22.93</v>
      </c>
      <c r="T218" s="109">
        <v>56.23</v>
      </c>
      <c r="U218" s="109">
        <v>108.1</v>
      </c>
      <c r="V218" s="43">
        <v>1.0818000000000001</v>
      </c>
      <c r="W218" s="44">
        <v>-9.4999999999999998E-3</v>
      </c>
    </row>
    <row r="219" spans="1:23" x14ac:dyDescent="0.25">
      <c r="A219" s="80">
        <v>2</v>
      </c>
      <c r="B219" s="81" t="s">
        <v>16</v>
      </c>
      <c r="C219" s="82" t="s">
        <v>257</v>
      </c>
      <c r="D219" s="51">
        <v>0</v>
      </c>
      <c r="E219" s="92">
        <v>69.349999999999994</v>
      </c>
      <c r="F219" s="92">
        <v>38.950000000000003</v>
      </c>
      <c r="G219" s="92">
        <v>78.02</v>
      </c>
      <c r="H219" s="92">
        <v>24.5</v>
      </c>
      <c r="I219" s="92">
        <f t="shared" si="8"/>
        <v>35.39</v>
      </c>
      <c r="J219" s="92">
        <f t="shared" si="9"/>
        <v>22.26</v>
      </c>
      <c r="K219" s="58">
        <v>0</v>
      </c>
      <c r="L219" s="58">
        <v>0</v>
      </c>
      <c r="M219" s="58">
        <v>1000</v>
      </c>
      <c r="N219" s="101">
        <v>1.44</v>
      </c>
      <c r="O219" s="33">
        <v>0</v>
      </c>
      <c r="P219" s="105">
        <v>0.11700000000000001</v>
      </c>
      <c r="Q219" s="113">
        <v>0.53</v>
      </c>
      <c r="R219" s="105">
        <v>1.1000000000000001E-3</v>
      </c>
      <c r="S219" s="109">
        <v>22.93</v>
      </c>
      <c r="T219" s="109">
        <v>56.23</v>
      </c>
      <c r="U219" s="109">
        <v>108.1</v>
      </c>
      <c r="V219" s="43">
        <v>1.0818000000000001</v>
      </c>
      <c r="W219" s="44">
        <v>-9.4999999999999998E-3</v>
      </c>
    </row>
    <row r="220" spans="1:23" x14ac:dyDescent="0.25">
      <c r="A220" s="80">
        <v>2</v>
      </c>
      <c r="B220" s="81" t="s">
        <v>16</v>
      </c>
      <c r="C220" s="82" t="s">
        <v>258</v>
      </c>
      <c r="D220" s="51">
        <v>0</v>
      </c>
      <c r="E220" s="92">
        <v>69.349999999999994</v>
      </c>
      <c r="F220" s="92">
        <v>38.950000000000003</v>
      </c>
      <c r="G220" s="92">
        <v>77.91</v>
      </c>
      <c r="H220" s="92">
        <v>24.5</v>
      </c>
      <c r="I220" s="92">
        <f t="shared" si="8"/>
        <v>34.94</v>
      </c>
      <c r="J220" s="92">
        <f t="shared" si="9"/>
        <v>21.98</v>
      </c>
      <c r="K220" s="58">
        <v>0</v>
      </c>
      <c r="L220" s="58">
        <v>0</v>
      </c>
      <c r="M220" s="58">
        <v>1000</v>
      </c>
      <c r="N220" s="101">
        <v>1.44</v>
      </c>
      <c r="O220" s="33">
        <v>0</v>
      </c>
      <c r="P220" s="105">
        <v>0.1148</v>
      </c>
      <c r="Q220" s="113">
        <v>0.53</v>
      </c>
      <c r="R220" s="105">
        <v>1E-3</v>
      </c>
      <c r="S220" s="109">
        <v>22.93</v>
      </c>
      <c r="T220" s="109">
        <v>56.23</v>
      </c>
      <c r="U220" s="109">
        <v>108.1</v>
      </c>
      <c r="V220" s="43">
        <v>1.0818000000000001</v>
      </c>
      <c r="W220" s="44">
        <v>-9.4999999999999998E-3</v>
      </c>
    </row>
    <row r="221" spans="1:23" x14ac:dyDescent="0.25">
      <c r="A221" s="80">
        <v>2</v>
      </c>
      <c r="B221" s="81" t="s">
        <v>16</v>
      </c>
      <c r="C221" s="82" t="s">
        <v>259</v>
      </c>
      <c r="D221" s="51">
        <v>0</v>
      </c>
      <c r="E221" s="92">
        <v>69.349999999999994</v>
      </c>
      <c r="F221" s="92">
        <v>38.950000000000003</v>
      </c>
      <c r="G221" s="92">
        <v>77.8</v>
      </c>
      <c r="H221" s="92">
        <v>24.5</v>
      </c>
      <c r="I221" s="92">
        <f t="shared" si="8"/>
        <v>34.49</v>
      </c>
      <c r="J221" s="92">
        <f t="shared" si="9"/>
        <v>21.69</v>
      </c>
      <c r="K221" s="58">
        <v>0</v>
      </c>
      <c r="L221" s="58">
        <v>0</v>
      </c>
      <c r="M221" s="58">
        <v>1000</v>
      </c>
      <c r="N221" s="101">
        <v>1.44</v>
      </c>
      <c r="O221" s="33">
        <v>0</v>
      </c>
      <c r="P221" s="105">
        <v>0.11559999999999999</v>
      </c>
      <c r="Q221" s="113">
        <v>0.53</v>
      </c>
      <c r="R221" s="105">
        <v>1E-3</v>
      </c>
      <c r="S221" s="109">
        <v>22.93</v>
      </c>
      <c r="T221" s="109">
        <v>56.23</v>
      </c>
      <c r="U221" s="109">
        <v>108.1</v>
      </c>
      <c r="V221" s="43">
        <v>1.0818000000000001</v>
      </c>
      <c r="W221" s="44">
        <v>-9.4999999999999998E-3</v>
      </c>
    </row>
    <row r="222" spans="1:23" x14ac:dyDescent="0.25">
      <c r="A222" s="80">
        <v>2</v>
      </c>
      <c r="B222" s="81" t="s">
        <v>16</v>
      </c>
      <c r="C222" s="82" t="s">
        <v>260</v>
      </c>
      <c r="D222" s="51">
        <v>0</v>
      </c>
      <c r="E222" s="92">
        <v>69.349999999999994</v>
      </c>
      <c r="F222" s="92">
        <v>38.950000000000003</v>
      </c>
      <c r="G222" s="92">
        <v>77.69</v>
      </c>
      <c r="H222" s="92">
        <v>24.5</v>
      </c>
      <c r="I222" s="92">
        <f t="shared" si="8"/>
        <v>34.04</v>
      </c>
      <c r="J222" s="92">
        <f t="shared" si="9"/>
        <v>21.41</v>
      </c>
      <c r="K222" s="58">
        <v>0</v>
      </c>
      <c r="L222" s="58">
        <v>0</v>
      </c>
      <c r="M222" s="58">
        <v>1000</v>
      </c>
      <c r="N222" s="101">
        <v>1.44</v>
      </c>
      <c r="O222" s="33">
        <v>0</v>
      </c>
      <c r="P222" s="105">
        <v>0.1138</v>
      </c>
      <c r="Q222" s="113">
        <v>0.53</v>
      </c>
      <c r="R222" s="105">
        <v>1E-3</v>
      </c>
      <c r="S222" s="109">
        <v>22.93</v>
      </c>
      <c r="T222" s="109">
        <v>56.23</v>
      </c>
      <c r="U222" s="109">
        <v>108.1</v>
      </c>
      <c r="V222" s="43">
        <v>1.0818000000000001</v>
      </c>
      <c r="W222" s="44">
        <v>-9.4999999999999998E-3</v>
      </c>
    </row>
    <row r="223" spans="1:23" x14ac:dyDescent="0.25">
      <c r="A223" s="80">
        <v>2</v>
      </c>
      <c r="B223" s="81" t="s">
        <v>16</v>
      </c>
      <c r="C223" s="82" t="s">
        <v>261</v>
      </c>
      <c r="D223" s="51">
        <v>0</v>
      </c>
      <c r="E223" s="92">
        <v>69.349999999999994</v>
      </c>
      <c r="F223" s="92">
        <v>38.950000000000003</v>
      </c>
      <c r="G223" s="92">
        <v>77.58</v>
      </c>
      <c r="H223" s="92">
        <v>24.5</v>
      </c>
      <c r="I223" s="92">
        <f t="shared" si="8"/>
        <v>33.590000000000003</v>
      </c>
      <c r="J223" s="92">
        <f t="shared" si="9"/>
        <v>21.13</v>
      </c>
      <c r="K223" s="58">
        <v>0</v>
      </c>
      <c r="L223" s="58">
        <v>0</v>
      </c>
      <c r="M223" s="58">
        <v>1000</v>
      </c>
      <c r="N223" s="101">
        <v>1.44</v>
      </c>
      <c r="O223" s="33">
        <v>0</v>
      </c>
      <c r="P223" s="105">
        <v>0.10979999999999999</v>
      </c>
      <c r="Q223" s="113">
        <v>0.54</v>
      </c>
      <c r="R223" s="105">
        <v>8.9999999999999998E-4</v>
      </c>
      <c r="S223" s="109">
        <v>22.93</v>
      </c>
      <c r="T223" s="109">
        <v>56.23</v>
      </c>
      <c r="U223" s="109">
        <v>108.1</v>
      </c>
      <c r="V223" s="43">
        <v>1.0818000000000001</v>
      </c>
      <c r="W223" s="44">
        <v>-9.4999999999999998E-3</v>
      </c>
    </row>
    <row r="224" spans="1:23" x14ac:dyDescent="0.25">
      <c r="A224" s="80">
        <v>2</v>
      </c>
      <c r="B224" s="81" t="s">
        <v>16</v>
      </c>
      <c r="C224" s="82" t="s">
        <v>262</v>
      </c>
      <c r="D224" s="51">
        <v>0</v>
      </c>
      <c r="E224" s="92">
        <v>69.349999999999994</v>
      </c>
      <c r="F224" s="92">
        <v>38.950000000000003</v>
      </c>
      <c r="G224" s="92">
        <v>77.47</v>
      </c>
      <c r="H224" s="92">
        <v>24.5</v>
      </c>
      <c r="I224" s="92">
        <f t="shared" si="8"/>
        <v>33.14</v>
      </c>
      <c r="J224" s="92">
        <f t="shared" si="9"/>
        <v>20.85</v>
      </c>
      <c r="K224" s="58">
        <v>0</v>
      </c>
      <c r="L224" s="58">
        <v>0</v>
      </c>
      <c r="M224" s="58">
        <v>1000</v>
      </c>
      <c r="N224" s="101">
        <v>1.44</v>
      </c>
      <c r="O224" s="33">
        <v>0</v>
      </c>
      <c r="P224" s="105">
        <v>0.10879999999999999</v>
      </c>
      <c r="Q224" s="113">
        <v>0.54</v>
      </c>
      <c r="R224" s="105">
        <v>8.9999999999999998E-4</v>
      </c>
      <c r="S224" s="109">
        <v>22.93</v>
      </c>
      <c r="T224" s="109">
        <v>56.23</v>
      </c>
      <c r="U224" s="109">
        <v>108.1</v>
      </c>
      <c r="V224" s="43">
        <v>1.0818000000000001</v>
      </c>
      <c r="W224" s="44">
        <v>-9.4999999999999998E-3</v>
      </c>
    </row>
    <row r="225" spans="1:23" x14ac:dyDescent="0.25">
      <c r="A225" s="80">
        <v>2</v>
      </c>
      <c r="B225" s="81" t="s">
        <v>16</v>
      </c>
      <c r="C225" s="82" t="s">
        <v>263</v>
      </c>
      <c r="D225" s="51">
        <v>0</v>
      </c>
      <c r="E225" s="92">
        <v>69.349999999999994</v>
      </c>
      <c r="F225" s="92">
        <v>38.950000000000003</v>
      </c>
      <c r="G225" s="92">
        <v>77.36</v>
      </c>
      <c r="H225" s="92">
        <v>24.5</v>
      </c>
      <c r="I225" s="92">
        <f t="shared" si="8"/>
        <v>32.69</v>
      </c>
      <c r="J225" s="92">
        <f t="shared" si="9"/>
        <v>20.56</v>
      </c>
      <c r="K225" s="58">
        <v>0</v>
      </c>
      <c r="L225" s="58">
        <v>0</v>
      </c>
      <c r="M225" s="58">
        <v>1000</v>
      </c>
      <c r="N225" s="101">
        <v>1.44</v>
      </c>
      <c r="O225" s="33">
        <v>0</v>
      </c>
      <c r="P225" s="105">
        <v>0.1096</v>
      </c>
      <c r="Q225" s="113">
        <v>0.53</v>
      </c>
      <c r="R225" s="105">
        <v>8.9999999999999998E-4</v>
      </c>
      <c r="S225" s="109">
        <v>22.93</v>
      </c>
      <c r="T225" s="109">
        <v>56.23</v>
      </c>
      <c r="U225" s="109">
        <v>108.1</v>
      </c>
      <c r="V225" s="43">
        <v>1.0818000000000001</v>
      </c>
      <c r="W225" s="44">
        <v>-9.4999999999999998E-3</v>
      </c>
    </row>
    <row r="226" spans="1:23" x14ac:dyDescent="0.25">
      <c r="A226" s="80">
        <v>2</v>
      </c>
      <c r="B226" s="81" t="s">
        <v>16</v>
      </c>
      <c r="C226" s="82" t="s">
        <v>264</v>
      </c>
      <c r="D226" s="51">
        <v>0</v>
      </c>
      <c r="E226" s="92">
        <v>69.349999999999994</v>
      </c>
      <c r="F226" s="92">
        <v>38.950000000000003</v>
      </c>
      <c r="G226" s="92">
        <v>77.260000000000005</v>
      </c>
      <c r="H226" s="92">
        <v>24.5</v>
      </c>
      <c r="I226" s="92">
        <f t="shared" si="8"/>
        <v>32.29</v>
      </c>
      <c r="J226" s="92">
        <f t="shared" si="9"/>
        <v>20.309999999999999</v>
      </c>
      <c r="K226" s="58">
        <v>0</v>
      </c>
      <c r="L226" s="58">
        <v>0</v>
      </c>
      <c r="M226" s="58">
        <v>1000</v>
      </c>
      <c r="N226" s="101">
        <v>1.44</v>
      </c>
      <c r="O226" s="33">
        <v>0</v>
      </c>
      <c r="P226" s="105">
        <v>0.1091</v>
      </c>
      <c r="Q226" s="113">
        <v>0.53</v>
      </c>
      <c r="R226" s="105">
        <v>8.9999999999999998E-4</v>
      </c>
      <c r="S226" s="109">
        <v>22.93</v>
      </c>
      <c r="T226" s="109">
        <v>56.23</v>
      </c>
      <c r="U226" s="109">
        <v>108.1</v>
      </c>
      <c r="V226" s="43">
        <v>1.0818000000000001</v>
      </c>
      <c r="W226" s="44">
        <v>-9.4999999999999998E-3</v>
      </c>
    </row>
    <row r="227" spans="1:23" x14ac:dyDescent="0.25">
      <c r="A227" s="80">
        <v>2</v>
      </c>
      <c r="B227" s="81" t="s">
        <v>16</v>
      </c>
      <c r="C227" s="82" t="s">
        <v>265</v>
      </c>
      <c r="D227" s="51">
        <v>0</v>
      </c>
      <c r="E227" s="92">
        <v>69.349999999999994</v>
      </c>
      <c r="F227" s="92">
        <v>38.950000000000003</v>
      </c>
      <c r="G227" s="92">
        <v>77.150000000000006</v>
      </c>
      <c r="H227" s="92">
        <v>24.5</v>
      </c>
      <c r="I227" s="92">
        <f t="shared" si="8"/>
        <v>31.84</v>
      </c>
      <c r="J227" s="92">
        <f t="shared" si="9"/>
        <v>20.03</v>
      </c>
      <c r="K227" s="58">
        <v>0</v>
      </c>
      <c r="L227" s="58">
        <v>0</v>
      </c>
      <c r="M227" s="58">
        <v>1000</v>
      </c>
      <c r="N227" s="101">
        <v>1.44</v>
      </c>
      <c r="O227" s="33">
        <v>0</v>
      </c>
      <c r="P227" s="105">
        <v>0.108</v>
      </c>
      <c r="Q227" s="113">
        <v>0.53</v>
      </c>
      <c r="R227" s="105">
        <v>8.9999999999999998E-4</v>
      </c>
      <c r="S227" s="109">
        <v>22.93</v>
      </c>
      <c r="T227" s="109">
        <v>56.23</v>
      </c>
      <c r="U227" s="109">
        <v>108.1</v>
      </c>
      <c r="V227" s="43">
        <v>1.0818000000000001</v>
      </c>
      <c r="W227" s="44">
        <v>-9.4999999999999998E-3</v>
      </c>
    </row>
    <row r="228" spans="1:23" x14ac:dyDescent="0.25">
      <c r="A228" s="80">
        <v>2</v>
      </c>
      <c r="B228" s="81" t="s">
        <v>16</v>
      </c>
      <c r="C228" s="82" t="s">
        <v>266</v>
      </c>
      <c r="D228" s="51">
        <v>0</v>
      </c>
      <c r="E228" s="92">
        <v>69.349999999999994</v>
      </c>
      <c r="F228" s="92">
        <v>38.950000000000003</v>
      </c>
      <c r="G228" s="92">
        <v>77.040000000000006</v>
      </c>
      <c r="H228" s="92">
        <v>24.5</v>
      </c>
      <c r="I228" s="92">
        <f t="shared" si="8"/>
        <v>31.39</v>
      </c>
      <c r="J228" s="92">
        <f t="shared" si="9"/>
        <v>19.739999999999998</v>
      </c>
      <c r="K228" s="58">
        <v>0</v>
      </c>
      <c r="L228" s="58">
        <v>0</v>
      </c>
      <c r="M228" s="58">
        <v>1000</v>
      </c>
      <c r="N228" s="101">
        <v>1.44</v>
      </c>
      <c r="O228" s="33">
        <v>0</v>
      </c>
      <c r="P228" s="105">
        <v>0.1074</v>
      </c>
      <c r="Q228" s="113">
        <v>0.53</v>
      </c>
      <c r="R228" s="105">
        <v>8.9999999999999998E-4</v>
      </c>
      <c r="S228" s="109">
        <v>22.93</v>
      </c>
      <c r="T228" s="109">
        <v>56.23</v>
      </c>
      <c r="U228" s="109">
        <v>108.1</v>
      </c>
      <c r="V228" s="43">
        <v>1.0818000000000001</v>
      </c>
      <c r="W228" s="44">
        <v>-9.4999999999999998E-3</v>
      </c>
    </row>
    <row r="229" spans="1:23" x14ac:dyDescent="0.25">
      <c r="A229" s="80">
        <v>2</v>
      </c>
      <c r="B229" s="81" t="s">
        <v>16</v>
      </c>
      <c r="C229" s="82" t="s">
        <v>267</v>
      </c>
      <c r="D229" s="51">
        <v>0</v>
      </c>
      <c r="E229" s="92">
        <v>69.349999999999994</v>
      </c>
      <c r="F229" s="92">
        <v>38.950000000000003</v>
      </c>
      <c r="G229" s="92">
        <v>76.930000000000007</v>
      </c>
      <c r="H229" s="92">
        <v>24.5</v>
      </c>
      <c r="I229" s="92">
        <f t="shared" si="8"/>
        <v>30.94</v>
      </c>
      <c r="J229" s="92">
        <f t="shared" si="9"/>
        <v>19.46</v>
      </c>
      <c r="K229" s="58">
        <v>0</v>
      </c>
      <c r="L229" s="58">
        <v>0</v>
      </c>
      <c r="M229" s="58">
        <v>1000</v>
      </c>
      <c r="N229" s="101">
        <v>1.44</v>
      </c>
      <c r="O229" s="33">
        <v>0</v>
      </c>
      <c r="P229" s="105">
        <v>0.10440000000000001</v>
      </c>
      <c r="Q229" s="113">
        <v>0.53</v>
      </c>
      <c r="R229" s="105">
        <v>8.0000000000000004E-4</v>
      </c>
      <c r="S229" s="109">
        <v>22.93</v>
      </c>
      <c r="T229" s="109">
        <v>56.23</v>
      </c>
      <c r="U229" s="109">
        <v>108.1</v>
      </c>
      <c r="V229" s="43">
        <v>1.0818000000000001</v>
      </c>
      <c r="W229" s="44">
        <v>-9.4999999999999998E-3</v>
      </c>
    </row>
    <row r="230" spans="1:23" x14ac:dyDescent="0.25">
      <c r="A230" s="80">
        <v>2</v>
      </c>
      <c r="B230" s="81" t="s">
        <v>16</v>
      </c>
      <c r="C230" s="82" t="s">
        <v>268</v>
      </c>
      <c r="D230" s="51">
        <v>0</v>
      </c>
      <c r="E230" s="92">
        <v>69.349999999999994</v>
      </c>
      <c r="F230" s="92">
        <v>38.950000000000003</v>
      </c>
      <c r="G230" s="92">
        <v>76.819999999999993</v>
      </c>
      <c r="H230" s="92">
        <v>24.5</v>
      </c>
      <c r="I230" s="92">
        <f t="shared" si="8"/>
        <v>30.49</v>
      </c>
      <c r="J230" s="92">
        <f t="shared" si="9"/>
        <v>19.18</v>
      </c>
      <c r="K230" s="58">
        <v>0</v>
      </c>
      <c r="L230" s="58">
        <v>0</v>
      </c>
      <c r="M230" s="58">
        <v>1000</v>
      </c>
      <c r="N230" s="101">
        <v>1.44</v>
      </c>
      <c r="O230" s="33">
        <v>0</v>
      </c>
      <c r="P230" s="105">
        <v>0.1052</v>
      </c>
      <c r="Q230" s="113">
        <v>0.53</v>
      </c>
      <c r="R230" s="105">
        <v>8.0000000000000004E-4</v>
      </c>
      <c r="S230" s="109">
        <v>22.93</v>
      </c>
      <c r="T230" s="109">
        <v>56.23</v>
      </c>
      <c r="U230" s="109">
        <v>108.1</v>
      </c>
      <c r="V230" s="43">
        <v>1.0818000000000001</v>
      </c>
      <c r="W230" s="44">
        <v>-9.4999999999999998E-3</v>
      </c>
    </row>
    <row r="231" spans="1:23" x14ac:dyDescent="0.25">
      <c r="A231" s="80">
        <v>2</v>
      </c>
      <c r="B231" s="81" t="s">
        <v>16</v>
      </c>
      <c r="C231" s="82" t="s">
        <v>269</v>
      </c>
      <c r="D231" s="51">
        <v>0</v>
      </c>
      <c r="E231" s="92">
        <v>69.349999999999994</v>
      </c>
      <c r="F231" s="92">
        <v>38.950000000000003</v>
      </c>
      <c r="G231" s="92">
        <v>76.709999999999994</v>
      </c>
      <c r="H231" s="92">
        <v>24.5</v>
      </c>
      <c r="I231" s="92">
        <f t="shared" si="8"/>
        <v>30.04</v>
      </c>
      <c r="J231" s="92">
        <f t="shared" si="9"/>
        <v>18.899999999999999</v>
      </c>
      <c r="K231" s="58">
        <v>0</v>
      </c>
      <c r="L231" s="58">
        <v>0</v>
      </c>
      <c r="M231" s="58">
        <v>1000</v>
      </c>
      <c r="N231" s="101">
        <v>1.44</v>
      </c>
      <c r="O231" s="33">
        <v>0</v>
      </c>
      <c r="P231" s="105">
        <v>0.1046</v>
      </c>
      <c r="Q231" s="113">
        <v>0.53</v>
      </c>
      <c r="R231" s="105">
        <v>8.0000000000000004E-4</v>
      </c>
      <c r="S231" s="109">
        <v>22.93</v>
      </c>
      <c r="T231" s="109">
        <v>56.23</v>
      </c>
      <c r="U231" s="109">
        <v>108.1</v>
      </c>
      <c r="V231" s="43">
        <v>1.0818000000000001</v>
      </c>
      <c r="W231" s="44">
        <v>-9.4999999999999998E-3</v>
      </c>
    </row>
    <row r="232" spans="1:23" x14ac:dyDescent="0.25">
      <c r="A232" s="80">
        <v>2</v>
      </c>
      <c r="B232" s="81" t="s">
        <v>16</v>
      </c>
      <c r="C232" s="82" t="s">
        <v>270</v>
      </c>
      <c r="D232" s="51">
        <v>0</v>
      </c>
      <c r="E232" s="92">
        <v>69.349999999999994</v>
      </c>
      <c r="F232" s="92">
        <v>38.950000000000003</v>
      </c>
      <c r="G232" s="92">
        <v>76.599999999999994</v>
      </c>
      <c r="H232" s="92">
        <v>24.5</v>
      </c>
      <c r="I232" s="92">
        <f t="shared" si="8"/>
        <v>29.59</v>
      </c>
      <c r="J232" s="92">
        <f t="shared" si="9"/>
        <v>18.61</v>
      </c>
      <c r="K232" s="58">
        <v>0</v>
      </c>
      <c r="L232" s="58">
        <v>0</v>
      </c>
      <c r="M232" s="58">
        <v>1000</v>
      </c>
      <c r="N232" s="101">
        <v>1.44</v>
      </c>
      <c r="O232" s="33">
        <v>0</v>
      </c>
      <c r="P232" s="105">
        <v>0.1033</v>
      </c>
      <c r="Q232" s="113">
        <v>0.53</v>
      </c>
      <c r="R232" s="105">
        <v>8.0000000000000004E-4</v>
      </c>
      <c r="S232" s="109">
        <v>22.93</v>
      </c>
      <c r="T232" s="109">
        <v>56.23</v>
      </c>
      <c r="U232" s="109">
        <v>108.1</v>
      </c>
      <c r="V232" s="43">
        <v>1.0818000000000001</v>
      </c>
      <c r="W232" s="44">
        <v>-9.4999999999999998E-3</v>
      </c>
    </row>
    <row r="233" spans="1:23" x14ac:dyDescent="0.25">
      <c r="A233" s="80">
        <v>2</v>
      </c>
      <c r="B233" s="81" t="s">
        <v>16</v>
      </c>
      <c r="C233" s="82" t="s">
        <v>271</v>
      </c>
      <c r="D233" s="51">
        <v>0</v>
      </c>
      <c r="E233" s="92">
        <v>69.349999999999994</v>
      </c>
      <c r="F233" s="92">
        <v>38.950000000000003</v>
      </c>
      <c r="G233" s="92">
        <v>76.5</v>
      </c>
      <c r="H233" s="92">
        <v>24.5</v>
      </c>
      <c r="I233" s="92">
        <f t="shared" si="8"/>
        <v>29.18</v>
      </c>
      <c r="J233" s="92">
        <f t="shared" si="9"/>
        <v>18.36</v>
      </c>
      <c r="K233" s="58">
        <v>0</v>
      </c>
      <c r="L233" s="58">
        <v>0</v>
      </c>
      <c r="M233" s="58">
        <v>1000</v>
      </c>
      <c r="N233" s="101">
        <v>1.44</v>
      </c>
      <c r="O233" s="33">
        <v>0</v>
      </c>
      <c r="P233" s="105">
        <v>0.10050000000000001</v>
      </c>
      <c r="Q233" s="113">
        <v>0.53</v>
      </c>
      <c r="R233" s="105">
        <v>8.0000000000000004E-4</v>
      </c>
      <c r="S233" s="109">
        <v>22.93</v>
      </c>
      <c r="T233" s="109">
        <v>56.23</v>
      </c>
      <c r="U233" s="109">
        <v>108.1</v>
      </c>
      <c r="V233" s="43">
        <v>1.0818000000000001</v>
      </c>
      <c r="W233" s="44">
        <v>-9.4999999999999998E-3</v>
      </c>
    </row>
    <row r="234" spans="1:23" x14ac:dyDescent="0.25">
      <c r="A234" s="80">
        <v>2</v>
      </c>
      <c r="B234" s="81" t="s">
        <v>16</v>
      </c>
      <c r="C234" s="82" t="s">
        <v>272</v>
      </c>
      <c r="D234" s="51">
        <v>0</v>
      </c>
      <c r="E234" s="92">
        <v>69.349999999999994</v>
      </c>
      <c r="F234" s="92">
        <v>38.950000000000003</v>
      </c>
      <c r="G234" s="92">
        <v>76.39</v>
      </c>
      <c r="H234" s="92">
        <v>24.5</v>
      </c>
      <c r="I234" s="92">
        <f t="shared" si="8"/>
        <v>28.73</v>
      </c>
      <c r="J234" s="92">
        <f t="shared" si="9"/>
        <v>18.07</v>
      </c>
      <c r="K234" s="58">
        <v>0</v>
      </c>
      <c r="L234" s="58">
        <v>0</v>
      </c>
      <c r="M234" s="58">
        <v>1000</v>
      </c>
      <c r="N234" s="101">
        <v>1.44</v>
      </c>
      <c r="O234" s="33">
        <v>0</v>
      </c>
      <c r="P234" s="105">
        <v>0.104</v>
      </c>
      <c r="Q234" s="113">
        <v>0.52</v>
      </c>
      <c r="R234" s="105">
        <v>8.0000000000000004E-4</v>
      </c>
      <c r="S234" s="109">
        <v>22.93</v>
      </c>
      <c r="T234" s="109">
        <v>56.23</v>
      </c>
      <c r="U234" s="109">
        <v>108.1</v>
      </c>
      <c r="V234" s="43">
        <v>1.0818000000000001</v>
      </c>
      <c r="W234" s="44">
        <v>-9.4999999999999998E-3</v>
      </c>
    </row>
    <row r="235" spans="1:23" x14ac:dyDescent="0.25">
      <c r="A235" s="80">
        <v>2</v>
      </c>
      <c r="B235" s="81" t="s">
        <v>16</v>
      </c>
      <c r="C235" s="82" t="s">
        <v>273</v>
      </c>
      <c r="D235" s="51">
        <v>0</v>
      </c>
      <c r="E235" s="92">
        <v>69.349999999999994</v>
      </c>
      <c r="F235" s="92">
        <v>38.950000000000003</v>
      </c>
      <c r="G235" s="92">
        <v>76.27</v>
      </c>
      <c r="H235" s="92">
        <v>24.5</v>
      </c>
      <c r="I235" s="92">
        <f t="shared" si="8"/>
        <v>28.24</v>
      </c>
      <c r="J235" s="92">
        <f t="shared" si="9"/>
        <v>17.77</v>
      </c>
      <c r="K235" s="58">
        <v>0</v>
      </c>
      <c r="L235" s="58">
        <v>0</v>
      </c>
      <c r="M235" s="58">
        <v>1000</v>
      </c>
      <c r="N235" s="101">
        <v>1.44</v>
      </c>
      <c r="O235" s="33">
        <v>0</v>
      </c>
      <c r="P235" s="105">
        <v>9.9199999999999997E-2</v>
      </c>
      <c r="Q235" s="113">
        <v>0.53</v>
      </c>
      <c r="R235" s="105">
        <v>6.9999999999999999E-4</v>
      </c>
      <c r="S235" s="109">
        <v>22.93</v>
      </c>
      <c r="T235" s="109">
        <v>56.23</v>
      </c>
      <c r="U235" s="109">
        <v>108.1</v>
      </c>
      <c r="V235" s="43">
        <v>1.0818000000000001</v>
      </c>
      <c r="W235" s="44">
        <v>-9.4999999999999998E-3</v>
      </c>
    </row>
    <row r="236" spans="1:23" x14ac:dyDescent="0.25">
      <c r="A236" s="80">
        <v>2</v>
      </c>
      <c r="B236" s="81" t="s">
        <v>16</v>
      </c>
      <c r="C236" s="82" t="s">
        <v>274</v>
      </c>
      <c r="D236" s="51">
        <v>0</v>
      </c>
      <c r="E236" s="92">
        <v>69.349999999999994</v>
      </c>
      <c r="F236" s="92">
        <v>38.950000000000003</v>
      </c>
      <c r="G236" s="92">
        <v>76.17</v>
      </c>
      <c r="H236" s="92">
        <v>24.5</v>
      </c>
      <c r="I236" s="92">
        <f t="shared" si="8"/>
        <v>27.84</v>
      </c>
      <c r="J236" s="92">
        <f t="shared" si="9"/>
        <v>17.510000000000002</v>
      </c>
      <c r="K236" s="58">
        <v>0</v>
      </c>
      <c r="L236" s="58">
        <v>0</v>
      </c>
      <c r="M236" s="58">
        <v>1000</v>
      </c>
      <c r="N236" s="101">
        <v>1.44</v>
      </c>
      <c r="O236" s="33">
        <v>0</v>
      </c>
      <c r="P236" s="105">
        <v>0.1004</v>
      </c>
      <c r="Q236" s="113">
        <v>0.53</v>
      </c>
      <c r="R236" s="105">
        <v>8.0000000000000004E-4</v>
      </c>
      <c r="S236" s="109">
        <v>22.93</v>
      </c>
      <c r="T236" s="109">
        <v>56.23</v>
      </c>
      <c r="U236" s="109">
        <v>108.1</v>
      </c>
      <c r="V236" s="43">
        <v>1.0818000000000001</v>
      </c>
      <c r="W236" s="44">
        <v>-9.4999999999999998E-3</v>
      </c>
    </row>
    <row r="237" spans="1:23" x14ac:dyDescent="0.25">
      <c r="A237" s="80">
        <v>2</v>
      </c>
      <c r="B237" s="81" t="s">
        <v>16</v>
      </c>
      <c r="C237" s="82" t="s">
        <v>275</v>
      </c>
      <c r="D237" s="51">
        <v>0</v>
      </c>
      <c r="E237" s="92">
        <v>69.349999999999994</v>
      </c>
      <c r="F237" s="92">
        <v>38.950000000000003</v>
      </c>
      <c r="G237" s="92">
        <v>76.06</v>
      </c>
      <c r="H237" s="92">
        <v>24.5</v>
      </c>
      <c r="I237" s="92">
        <f t="shared" si="8"/>
        <v>27.39</v>
      </c>
      <c r="J237" s="92">
        <f t="shared" si="9"/>
        <v>17.23</v>
      </c>
      <c r="K237" s="58">
        <v>0</v>
      </c>
      <c r="L237" s="58">
        <v>0</v>
      </c>
      <c r="M237" s="58">
        <v>1000</v>
      </c>
      <c r="N237" s="101">
        <v>1.44</v>
      </c>
      <c r="O237" s="33">
        <v>0</v>
      </c>
      <c r="P237" s="105">
        <v>9.7600000000000006E-2</v>
      </c>
      <c r="Q237" s="113">
        <v>0.53</v>
      </c>
      <c r="R237" s="105">
        <v>8.0000000000000004E-4</v>
      </c>
      <c r="S237" s="109">
        <v>22.93</v>
      </c>
      <c r="T237" s="109">
        <v>56.23</v>
      </c>
      <c r="U237" s="109">
        <v>108.1</v>
      </c>
      <c r="V237" s="43">
        <v>1.0818000000000001</v>
      </c>
      <c r="W237" s="44">
        <v>-9.4999999999999998E-3</v>
      </c>
    </row>
    <row r="238" spans="1:23" x14ac:dyDescent="0.25">
      <c r="A238" s="80">
        <v>2</v>
      </c>
      <c r="B238" s="81" t="s">
        <v>16</v>
      </c>
      <c r="C238" s="82" t="s">
        <v>276</v>
      </c>
      <c r="D238" s="51">
        <v>0</v>
      </c>
      <c r="E238" s="92">
        <v>69.349999999999994</v>
      </c>
      <c r="F238" s="92">
        <v>38.950000000000003</v>
      </c>
      <c r="G238" s="92">
        <v>75.95</v>
      </c>
      <c r="H238" s="92">
        <v>24.5</v>
      </c>
      <c r="I238" s="92">
        <f t="shared" si="8"/>
        <v>26.94</v>
      </c>
      <c r="J238" s="92">
        <f t="shared" si="9"/>
        <v>16.940000000000001</v>
      </c>
      <c r="K238" s="58">
        <v>0</v>
      </c>
      <c r="L238" s="58">
        <v>0</v>
      </c>
      <c r="M238" s="58">
        <v>1000</v>
      </c>
      <c r="N238" s="101">
        <v>1.44</v>
      </c>
      <c r="O238" s="33">
        <v>0</v>
      </c>
      <c r="P238" s="105">
        <v>9.9400000000000002E-2</v>
      </c>
      <c r="Q238" s="113">
        <v>0.52</v>
      </c>
      <c r="R238" s="105">
        <v>6.9999999999999999E-4</v>
      </c>
      <c r="S238" s="109">
        <v>22.93</v>
      </c>
      <c r="T238" s="109">
        <v>56.23</v>
      </c>
      <c r="U238" s="109">
        <v>108.1</v>
      </c>
      <c r="V238" s="43">
        <v>1.0818000000000001</v>
      </c>
      <c r="W238" s="44">
        <v>-9.4999999999999998E-3</v>
      </c>
    </row>
    <row r="239" spans="1:23" x14ac:dyDescent="0.25">
      <c r="A239" s="80">
        <v>2</v>
      </c>
      <c r="B239" s="81" t="s">
        <v>16</v>
      </c>
      <c r="C239" s="82" t="s">
        <v>277</v>
      </c>
      <c r="D239" s="51">
        <v>0</v>
      </c>
      <c r="E239" s="92">
        <v>69.349999999999994</v>
      </c>
      <c r="F239" s="92">
        <v>38.950000000000003</v>
      </c>
      <c r="G239" s="92">
        <v>75.84</v>
      </c>
      <c r="H239" s="92">
        <v>24.5</v>
      </c>
      <c r="I239" s="92">
        <f t="shared" si="8"/>
        <v>26.49</v>
      </c>
      <c r="J239" s="92">
        <f t="shared" si="9"/>
        <v>16.66</v>
      </c>
      <c r="K239" s="58">
        <v>0</v>
      </c>
      <c r="L239" s="58">
        <v>0</v>
      </c>
      <c r="M239" s="58">
        <v>1000</v>
      </c>
      <c r="N239" s="101">
        <v>1.44</v>
      </c>
      <c r="O239" s="33">
        <v>0</v>
      </c>
      <c r="P239" s="105">
        <v>9.9000000000000005E-2</v>
      </c>
      <c r="Q239" s="113">
        <v>0.52</v>
      </c>
      <c r="R239" s="105">
        <v>8.0000000000000004E-4</v>
      </c>
      <c r="S239" s="109">
        <v>22.93</v>
      </c>
      <c r="T239" s="109">
        <v>56.23</v>
      </c>
      <c r="U239" s="109">
        <v>108.1</v>
      </c>
      <c r="V239" s="43">
        <v>1.0818000000000001</v>
      </c>
      <c r="W239" s="44">
        <v>-9.4999999999999998E-3</v>
      </c>
    </row>
    <row r="240" spans="1:23" x14ac:dyDescent="0.25">
      <c r="A240" s="80">
        <v>2</v>
      </c>
      <c r="B240" s="81" t="s">
        <v>16</v>
      </c>
      <c r="C240" s="82" t="s">
        <v>278</v>
      </c>
      <c r="D240" s="51">
        <v>0</v>
      </c>
      <c r="E240" s="92">
        <v>69.349999999999994</v>
      </c>
      <c r="F240" s="92">
        <v>38.950000000000003</v>
      </c>
      <c r="G240" s="92">
        <v>75.739999999999995</v>
      </c>
      <c r="H240" s="92">
        <v>24.5</v>
      </c>
      <c r="I240" s="92">
        <f t="shared" si="8"/>
        <v>26.08</v>
      </c>
      <c r="J240" s="92">
        <f t="shared" si="9"/>
        <v>16.41</v>
      </c>
      <c r="K240" s="58">
        <v>0</v>
      </c>
      <c r="L240" s="58">
        <v>0</v>
      </c>
      <c r="M240" s="58">
        <v>1000</v>
      </c>
      <c r="N240" s="101">
        <v>1.44</v>
      </c>
      <c r="O240" s="33">
        <v>0</v>
      </c>
      <c r="P240" s="105">
        <v>9.6600000000000005E-2</v>
      </c>
      <c r="Q240" s="113">
        <v>0.53</v>
      </c>
      <c r="R240" s="105">
        <v>6.9999999999999999E-4</v>
      </c>
      <c r="S240" s="109">
        <v>22.93</v>
      </c>
      <c r="T240" s="109">
        <v>56.23</v>
      </c>
      <c r="U240" s="109">
        <v>108.1</v>
      </c>
      <c r="V240" s="43">
        <v>1.0818000000000001</v>
      </c>
      <c r="W240" s="44">
        <v>-9.4999999999999998E-3</v>
      </c>
    </row>
    <row r="241" spans="1:23" x14ac:dyDescent="0.25">
      <c r="A241" s="80">
        <v>2</v>
      </c>
      <c r="B241" s="81" t="s">
        <v>16</v>
      </c>
      <c r="C241" s="82" t="s">
        <v>279</v>
      </c>
      <c r="D241" s="51">
        <v>0</v>
      </c>
      <c r="E241" s="92">
        <v>69.349999999999994</v>
      </c>
      <c r="F241" s="92">
        <v>38.950000000000003</v>
      </c>
      <c r="G241" s="92">
        <v>75.62</v>
      </c>
      <c r="H241" s="92">
        <v>24.5</v>
      </c>
      <c r="I241" s="92">
        <f t="shared" si="8"/>
        <v>25.59</v>
      </c>
      <c r="J241" s="92">
        <f t="shared" si="9"/>
        <v>16.100000000000001</v>
      </c>
      <c r="K241" s="58">
        <v>0</v>
      </c>
      <c r="L241" s="58">
        <v>0</v>
      </c>
      <c r="M241" s="58">
        <v>1000</v>
      </c>
      <c r="N241" s="101">
        <v>1.44</v>
      </c>
      <c r="O241" s="33">
        <v>0</v>
      </c>
      <c r="P241" s="105">
        <v>9.5200000000000007E-2</v>
      </c>
      <c r="Q241" s="113">
        <v>0.53</v>
      </c>
      <c r="R241" s="105">
        <v>6.9999999999999999E-4</v>
      </c>
      <c r="S241" s="109">
        <v>22.93</v>
      </c>
      <c r="T241" s="109">
        <v>56.23</v>
      </c>
      <c r="U241" s="109">
        <v>108.1</v>
      </c>
      <c r="V241" s="43">
        <v>1.0818000000000001</v>
      </c>
      <c r="W241" s="44">
        <v>-9.4999999999999998E-3</v>
      </c>
    </row>
    <row r="242" spans="1:23" x14ac:dyDescent="0.25">
      <c r="A242" s="80">
        <v>2</v>
      </c>
      <c r="B242" s="81" t="s">
        <v>16</v>
      </c>
      <c r="C242" s="82" t="s">
        <v>280</v>
      </c>
      <c r="D242" s="51">
        <v>0</v>
      </c>
      <c r="E242" s="92">
        <v>69.349999999999994</v>
      </c>
      <c r="F242" s="92">
        <v>38.950000000000003</v>
      </c>
      <c r="G242" s="92">
        <v>75.510000000000005</v>
      </c>
      <c r="H242" s="92">
        <v>24.5</v>
      </c>
      <c r="I242" s="92">
        <f t="shared" si="8"/>
        <v>25.14</v>
      </c>
      <c r="J242" s="92">
        <f t="shared" si="9"/>
        <v>15.82</v>
      </c>
      <c r="K242" s="58">
        <v>0</v>
      </c>
      <c r="L242" s="58">
        <v>0</v>
      </c>
      <c r="M242" s="58">
        <v>1000</v>
      </c>
      <c r="N242" s="101">
        <v>1.44</v>
      </c>
      <c r="O242" s="33">
        <v>0</v>
      </c>
      <c r="P242" s="105">
        <v>9.4600000000000004E-2</v>
      </c>
      <c r="Q242" s="113">
        <v>0.52</v>
      </c>
      <c r="R242" s="105">
        <v>6.9999999999999999E-4</v>
      </c>
      <c r="S242" s="109">
        <v>22.93</v>
      </c>
      <c r="T242" s="109">
        <v>56.23</v>
      </c>
      <c r="U242" s="109">
        <v>108.1</v>
      </c>
      <c r="V242" s="43">
        <v>1.0818000000000001</v>
      </c>
      <c r="W242" s="44">
        <v>-9.4999999999999998E-3</v>
      </c>
    </row>
    <row r="243" spans="1:23" x14ac:dyDescent="0.25">
      <c r="A243" s="80">
        <v>2</v>
      </c>
      <c r="B243" s="81" t="s">
        <v>16</v>
      </c>
      <c r="C243" s="82" t="s">
        <v>281</v>
      </c>
      <c r="D243" s="51">
        <v>0</v>
      </c>
      <c r="E243" s="92">
        <v>69.349999999999994</v>
      </c>
      <c r="F243" s="92">
        <v>38.950000000000003</v>
      </c>
      <c r="G243" s="92">
        <v>75.41</v>
      </c>
      <c r="H243" s="92">
        <v>24.5</v>
      </c>
      <c r="I243" s="92">
        <f t="shared" si="8"/>
        <v>24.73</v>
      </c>
      <c r="J243" s="92">
        <f t="shared" si="9"/>
        <v>15.56</v>
      </c>
      <c r="K243" s="58">
        <v>0</v>
      </c>
      <c r="L243" s="58">
        <v>0</v>
      </c>
      <c r="M243" s="58">
        <v>1000</v>
      </c>
      <c r="N243" s="101">
        <v>1.44</v>
      </c>
      <c r="O243" s="33">
        <v>0</v>
      </c>
      <c r="P243" s="105">
        <v>9.4600000000000004E-2</v>
      </c>
      <c r="Q243" s="113">
        <v>0.52</v>
      </c>
      <c r="R243" s="105">
        <v>6.9999999999999999E-4</v>
      </c>
      <c r="S243" s="109">
        <v>22.93</v>
      </c>
      <c r="T243" s="109">
        <v>56.23</v>
      </c>
      <c r="U243" s="109">
        <v>108.1</v>
      </c>
      <c r="V243" s="43">
        <v>1.0818000000000001</v>
      </c>
      <c r="W243" s="44">
        <v>-9.4999999999999998E-3</v>
      </c>
    </row>
    <row r="244" spans="1:23" x14ac:dyDescent="0.25">
      <c r="A244" s="80">
        <v>2</v>
      </c>
      <c r="B244" s="81" t="s">
        <v>16</v>
      </c>
      <c r="C244" s="82" t="s">
        <v>282</v>
      </c>
      <c r="D244" s="51">
        <v>0</v>
      </c>
      <c r="E244" s="92">
        <v>69.349999999999994</v>
      </c>
      <c r="F244" s="92">
        <v>38.950000000000003</v>
      </c>
      <c r="G244" s="92">
        <v>75.31</v>
      </c>
      <c r="H244" s="92">
        <v>24.5</v>
      </c>
      <c r="I244" s="92">
        <f t="shared" si="8"/>
        <v>24.33</v>
      </c>
      <c r="J244" s="92">
        <f t="shared" si="9"/>
        <v>15.3</v>
      </c>
      <c r="K244" s="58">
        <v>0</v>
      </c>
      <c r="L244" s="58">
        <v>0</v>
      </c>
      <c r="M244" s="58">
        <v>1000</v>
      </c>
      <c r="N244" s="101">
        <v>1.44</v>
      </c>
      <c r="O244" s="33">
        <v>0</v>
      </c>
      <c r="P244" s="105">
        <v>9.0800000000000006E-2</v>
      </c>
      <c r="Q244" s="113">
        <v>0.53</v>
      </c>
      <c r="R244" s="105">
        <v>5.9999999999999995E-4</v>
      </c>
      <c r="S244" s="109">
        <v>22.93</v>
      </c>
      <c r="T244" s="109">
        <v>56.23</v>
      </c>
      <c r="U244" s="109">
        <v>108.1</v>
      </c>
      <c r="V244" s="43">
        <v>1.0818000000000001</v>
      </c>
      <c r="W244" s="44">
        <v>-9.4999999999999998E-3</v>
      </c>
    </row>
    <row r="245" spans="1:23" x14ac:dyDescent="0.25">
      <c r="A245" s="80">
        <v>2</v>
      </c>
      <c r="B245" s="81" t="s">
        <v>16</v>
      </c>
      <c r="C245" s="82" t="s">
        <v>283</v>
      </c>
      <c r="D245" s="51">
        <v>0</v>
      </c>
      <c r="E245" s="92">
        <v>69.349999999999994</v>
      </c>
      <c r="F245" s="92">
        <v>38.950000000000003</v>
      </c>
      <c r="G245" s="92">
        <v>75.2</v>
      </c>
      <c r="H245" s="92">
        <v>24.5</v>
      </c>
      <c r="I245" s="92">
        <f t="shared" si="8"/>
        <v>23.88</v>
      </c>
      <c r="J245" s="92">
        <f t="shared" si="9"/>
        <v>15.02</v>
      </c>
      <c r="K245" s="58">
        <v>0</v>
      </c>
      <c r="L245" s="58">
        <v>0</v>
      </c>
      <c r="M245" s="58">
        <v>1000</v>
      </c>
      <c r="N245" s="101">
        <v>1.44</v>
      </c>
      <c r="O245" s="33">
        <v>0</v>
      </c>
      <c r="P245" s="105">
        <v>9.4100000000000003E-2</v>
      </c>
      <c r="Q245" s="113">
        <v>0.52</v>
      </c>
      <c r="R245" s="105">
        <v>6.9999999999999999E-4</v>
      </c>
      <c r="S245" s="109">
        <v>22.93</v>
      </c>
      <c r="T245" s="109">
        <v>56.23</v>
      </c>
      <c r="U245" s="109">
        <v>108.1</v>
      </c>
      <c r="V245" s="43">
        <v>1.0818000000000001</v>
      </c>
      <c r="W245" s="44">
        <v>-9.4999999999999998E-3</v>
      </c>
    </row>
    <row r="246" spans="1:23" x14ac:dyDescent="0.25">
      <c r="A246" s="80">
        <v>2</v>
      </c>
      <c r="B246" s="81" t="s">
        <v>16</v>
      </c>
      <c r="C246" s="82" t="s">
        <v>284</v>
      </c>
      <c r="D246" s="51">
        <v>0</v>
      </c>
      <c r="E246" s="92">
        <v>69.349999999999994</v>
      </c>
      <c r="F246" s="92">
        <v>38.950000000000003</v>
      </c>
      <c r="G246" s="92">
        <v>75.099999999999994</v>
      </c>
      <c r="H246" s="92">
        <v>24.5</v>
      </c>
      <c r="I246" s="92">
        <f t="shared" si="8"/>
        <v>23.47</v>
      </c>
      <c r="J246" s="92">
        <f t="shared" si="9"/>
        <v>14.76</v>
      </c>
      <c r="K246" s="58">
        <v>0</v>
      </c>
      <c r="L246" s="58">
        <v>0</v>
      </c>
      <c r="M246" s="58">
        <v>1000</v>
      </c>
      <c r="N246" s="101">
        <v>1.44</v>
      </c>
      <c r="O246" s="33">
        <v>0</v>
      </c>
      <c r="P246" s="105">
        <v>9.4299999999999995E-2</v>
      </c>
      <c r="Q246" s="113">
        <v>0.51</v>
      </c>
      <c r="R246" s="105">
        <v>5.9999999999999995E-4</v>
      </c>
      <c r="S246" s="109">
        <v>22.93</v>
      </c>
      <c r="T246" s="109">
        <v>56.23</v>
      </c>
      <c r="U246" s="109">
        <v>108.1</v>
      </c>
      <c r="V246" s="43">
        <v>1.0818000000000001</v>
      </c>
      <c r="W246" s="44">
        <v>-9.4999999999999998E-3</v>
      </c>
    </row>
    <row r="247" spans="1:23" x14ac:dyDescent="0.25">
      <c r="A247" s="80">
        <v>2</v>
      </c>
      <c r="B247" s="81" t="s">
        <v>16</v>
      </c>
      <c r="C247" s="82" t="s">
        <v>285</v>
      </c>
      <c r="D247" s="51">
        <v>0</v>
      </c>
      <c r="E247" s="92">
        <v>69.349999999999994</v>
      </c>
      <c r="F247" s="92">
        <v>38.950000000000003</v>
      </c>
      <c r="G247" s="92">
        <v>74.989999999999995</v>
      </c>
      <c r="H247" s="92">
        <v>24.5</v>
      </c>
      <c r="I247" s="92">
        <f t="shared" si="8"/>
        <v>23.02</v>
      </c>
      <c r="J247" s="92">
        <f t="shared" si="9"/>
        <v>14.48</v>
      </c>
      <c r="K247" s="58">
        <v>0</v>
      </c>
      <c r="L247" s="58">
        <v>0</v>
      </c>
      <c r="M247" s="58">
        <v>1000</v>
      </c>
      <c r="N247" s="101">
        <v>1.44</v>
      </c>
      <c r="O247" s="33">
        <v>0</v>
      </c>
      <c r="P247" s="105">
        <v>0.09</v>
      </c>
      <c r="Q247" s="113">
        <v>0.51</v>
      </c>
      <c r="R247" s="105">
        <v>5.9999999999999995E-4</v>
      </c>
      <c r="S247" s="109">
        <v>22.93</v>
      </c>
      <c r="T247" s="109">
        <v>56.23</v>
      </c>
      <c r="U247" s="109">
        <v>108.1</v>
      </c>
      <c r="V247" s="43">
        <v>1.0818000000000001</v>
      </c>
      <c r="W247" s="44">
        <v>-9.4999999999999998E-3</v>
      </c>
    </row>
    <row r="248" spans="1:23" x14ac:dyDescent="0.25">
      <c r="A248" s="80">
        <v>2</v>
      </c>
      <c r="B248" s="81" t="s">
        <v>16</v>
      </c>
      <c r="C248" s="82" t="s">
        <v>286</v>
      </c>
      <c r="D248" s="51">
        <v>0</v>
      </c>
      <c r="E248" s="92">
        <v>69.349999999999994</v>
      </c>
      <c r="F248" s="92">
        <v>38.950000000000003</v>
      </c>
      <c r="G248" s="92">
        <v>74.88</v>
      </c>
      <c r="H248" s="92">
        <v>24.5</v>
      </c>
      <c r="I248" s="92">
        <f t="shared" si="8"/>
        <v>22.57</v>
      </c>
      <c r="J248" s="92">
        <f t="shared" si="9"/>
        <v>14.2</v>
      </c>
      <c r="K248" s="58">
        <v>0</v>
      </c>
      <c r="L248" s="58">
        <v>0</v>
      </c>
      <c r="M248" s="58">
        <v>1000</v>
      </c>
      <c r="N248" s="101">
        <v>1.44</v>
      </c>
      <c r="O248" s="33">
        <v>0</v>
      </c>
      <c r="P248" s="105">
        <v>8.5599999999999996E-2</v>
      </c>
      <c r="Q248" s="113">
        <v>0.52</v>
      </c>
      <c r="R248" s="105">
        <v>5.0000000000000001E-4</v>
      </c>
      <c r="S248" s="109">
        <v>22.93</v>
      </c>
      <c r="T248" s="109">
        <v>56.23</v>
      </c>
      <c r="U248" s="109">
        <v>108.1</v>
      </c>
      <c r="V248" s="43">
        <v>1.0818000000000001</v>
      </c>
      <c r="W248" s="44">
        <v>-9.4999999999999998E-3</v>
      </c>
    </row>
    <row r="249" spans="1:23" x14ac:dyDescent="0.25">
      <c r="A249" s="80">
        <v>2</v>
      </c>
      <c r="B249" s="81" t="s">
        <v>16</v>
      </c>
      <c r="C249" s="82" t="s">
        <v>287</v>
      </c>
      <c r="D249" s="51">
        <v>0</v>
      </c>
      <c r="E249" s="92">
        <v>69.349999999999994</v>
      </c>
      <c r="F249" s="92">
        <v>38.950000000000003</v>
      </c>
      <c r="G249" s="92">
        <v>74.78</v>
      </c>
      <c r="H249" s="92">
        <v>24.5</v>
      </c>
      <c r="I249" s="92">
        <f t="shared" si="8"/>
        <v>22.16</v>
      </c>
      <c r="J249" s="92">
        <f t="shared" si="9"/>
        <v>13.94</v>
      </c>
      <c r="K249" s="58">
        <v>0</v>
      </c>
      <c r="L249" s="58">
        <v>0</v>
      </c>
      <c r="M249" s="58">
        <v>1000</v>
      </c>
      <c r="N249" s="101">
        <v>1.44</v>
      </c>
      <c r="O249" s="33">
        <v>0</v>
      </c>
      <c r="P249" s="105">
        <v>8.2400000000000001E-2</v>
      </c>
      <c r="Q249" s="113">
        <v>0.52</v>
      </c>
      <c r="R249" s="105">
        <v>4.0000000000000002E-4</v>
      </c>
      <c r="S249" s="109">
        <v>22.93</v>
      </c>
      <c r="T249" s="109">
        <v>56.23</v>
      </c>
      <c r="U249" s="109">
        <v>108.1</v>
      </c>
      <c r="V249" s="43">
        <v>1.0818000000000001</v>
      </c>
      <c r="W249" s="44">
        <v>-9.4999999999999998E-3</v>
      </c>
    </row>
    <row r="250" spans="1:23" x14ac:dyDescent="0.25">
      <c r="A250" s="80">
        <v>2</v>
      </c>
      <c r="B250" s="81" t="s">
        <v>16</v>
      </c>
      <c r="C250" s="82" t="s">
        <v>288</v>
      </c>
      <c r="D250" s="51">
        <v>0</v>
      </c>
      <c r="E250" s="92">
        <v>69.349999999999994</v>
      </c>
      <c r="F250" s="92">
        <v>38.950000000000003</v>
      </c>
      <c r="G250" s="92">
        <v>74.67</v>
      </c>
      <c r="H250" s="92">
        <v>24.5</v>
      </c>
      <c r="I250" s="92">
        <f t="shared" si="8"/>
        <v>21.71</v>
      </c>
      <c r="J250" s="92">
        <f t="shared" si="9"/>
        <v>13.66</v>
      </c>
      <c r="K250" s="58">
        <v>0</v>
      </c>
      <c r="L250" s="58">
        <v>0</v>
      </c>
      <c r="M250" s="58">
        <v>1000</v>
      </c>
      <c r="N250" s="101">
        <v>1.44</v>
      </c>
      <c r="O250" s="33">
        <v>0</v>
      </c>
      <c r="P250" s="105">
        <v>8.2199999999999995E-2</v>
      </c>
      <c r="Q250" s="113">
        <v>0.52</v>
      </c>
      <c r="R250" s="105">
        <v>4.0000000000000002E-4</v>
      </c>
      <c r="S250" s="109">
        <v>22.93</v>
      </c>
      <c r="T250" s="109">
        <v>56.23</v>
      </c>
      <c r="U250" s="109">
        <v>108.1</v>
      </c>
      <c r="V250" s="43">
        <v>1.0818000000000001</v>
      </c>
      <c r="W250" s="44">
        <v>-9.4999999999999998E-3</v>
      </c>
    </row>
    <row r="251" spans="1:23" x14ac:dyDescent="0.25">
      <c r="A251" s="80">
        <v>2</v>
      </c>
      <c r="B251" s="81" t="s">
        <v>16</v>
      </c>
      <c r="C251" s="82" t="s">
        <v>289</v>
      </c>
      <c r="D251" s="51">
        <v>0</v>
      </c>
      <c r="E251" s="92">
        <v>69.349999999999994</v>
      </c>
      <c r="F251" s="92">
        <v>38.950000000000003</v>
      </c>
      <c r="G251" s="92">
        <v>74.569999999999993</v>
      </c>
      <c r="H251" s="92">
        <v>24.5</v>
      </c>
      <c r="I251" s="92">
        <f t="shared" si="8"/>
        <v>21.31</v>
      </c>
      <c r="J251" s="92">
        <f t="shared" si="9"/>
        <v>13.4</v>
      </c>
      <c r="K251" s="58">
        <v>0</v>
      </c>
      <c r="L251" s="58">
        <v>0</v>
      </c>
      <c r="M251" s="58">
        <v>1000</v>
      </c>
      <c r="N251" s="101">
        <v>1.44</v>
      </c>
      <c r="O251" s="33">
        <v>0</v>
      </c>
      <c r="P251" s="105">
        <v>8.14E-2</v>
      </c>
      <c r="Q251" s="113">
        <v>0.51</v>
      </c>
      <c r="R251" s="105">
        <v>4.0000000000000002E-4</v>
      </c>
      <c r="S251" s="109">
        <v>22.93</v>
      </c>
      <c r="T251" s="109">
        <v>56.23</v>
      </c>
      <c r="U251" s="109">
        <v>108.1</v>
      </c>
      <c r="V251" s="43">
        <v>1.0818000000000001</v>
      </c>
      <c r="W251" s="44">
        <v>-9.4999999999999998E-3</v>
      </c>
    </row>
    <row r="252" spans="1:23" x14ac:dyDescent="0.25">
      <c r="A252" s="80">
        <v>2</v>
      </c>
      <c r="B252" s="81" t="s">
        <v>16</v>
      </c>
      <c r="C252" s="82" t="s">
        <v>290</v>
      </c>
      <c r="D252" s="51">
        <v>0</v>
      </c>
      <c r="E252" s="92">
        <v>69.349999999999994</v>
      </c>
      <c r="F252" s="92">
        <v>38.950000000000003</v>
      </c>
      <c r="G252" s="92">
        <v>74.45</v>
      </c>
      <c r="H252" s="92">
        <v>24.5</v>
      </c>
      <c r="I252" s="92">
        <f t="shared" si="8"/>
        <v>20.82</v>
      </c>
      <c r="J252" s="92">
        <f t="shared" si="9"/>
        <v>13.09</v>
      </c>
      <c r="K252" s="58">
        <v>0</v>
      </c>
      <c r="L252" s="58">
        <v>0</v>
      </c>
      <c r="M252" s="58">
        <v>1000</v>
      </c>
      <c r="N252" s="101">
        <v>1.44</v>
      </c>
      <c r="O252" s="33">
        <v>0</v>
      </c>
      <c r="P252" s="105">
        <v>7.9600000000000004E-2</v>
      </c>
      <c r="Q252" s="113">
        <v>0.51</v>
      </c>
      <c r="R252" s="105">
        <v>2.9999999999999997E-4</v>
      </c>
      <c r="S252" s="109">
        <v>22.93</v>
      </c>
      <c r="T252" s="109">
        <v>56.23</v>
      </c>
      <c r="U252" s="109">
        <v>108.1</v>
      </c>
      <c r="V252" s="43">
        <v>1.0818000000000001</v>
      </c>
      <c r="W252" s="44">
        <v>-9.4999999999999998E-3</v>
      </c>
    </row>
    <row r="253" spans="1:23" x14ac:dyDescent="0.25">
      <c r="A253" s="80">
        <v>2</v>
      </c>
      <c r="B253" s="81" t="s">
        <v>16</v>
      </c>
      <c r="C253" s="82" t="s">
        <v>291</v>
      </c>
      <c r="D253" s="51">
        <v>0</v>
      </c>
      <c r="E253" s="92">
        <v>69.349999999999994</v>
      </c>
      <c r="F253" s="92">
        <v>38.950000000000003</v>
      </c>
      <c r="G253" s="92">
        <v>74.349999999999994</v>
      </c>
      <c r="H253" s="92">
        <v>24.5</v>
      </c>
      <c r="I253" s="92">
        <f t="shared" si="8"/>
        <v>20.41</v>
      </c>
      <c r="J253" s="92">
        <f t="shared" si="9"/>
        <v>12.84</v>
      </c>
      <c r="K253" s="58">
        <v>0</v>
      </c>
      <c r="L253" s="58">
        <v>0</v>
      </c>
      <c r="M253" s="58">
        <v>1000</v>
      </c>
      <c r="N253" s="101">
        <v>1.44</v>
      </c>
      <c r="O253" s="33">
        <v>0</v>
      </c>
      <c r="P253" s="105">
        <v>7.85E-2</v>
      </c>
      <c r="Q253" s="113">
        <v>0.51</v>
      </c>
      <c r="R253" s="105">
        <v>2.0000000000000001E-4</v>
      </c>
      <c r="S253" s="109">
        <v>22.93</v>
      </c>
      <c r="T253" s="109">
        <v>56.23</v>
      </c>
      <c r="U253" s="109">
        <v>108.1</v>
      </c>
      <c r="V253" s="43">
        <v>1.0818000000000001</v>
      </c>
      <c r="W253" s="44">
        <v>-9.4999999999999998E-3</v>
      </c>
    </row>
    <row r="254" spans="1:23" x14ac:dyDescent="0.25">
      <c r="A254" s="80">
        <v>2</v>
      </c>
      <c r="B254" s="81" t="s">
        <v>16</v>
      </c>
      <c r="C254" s="82" t="s">
        <v>292</v>
      </c>
      <c r="D254" s="51">
        <v>0</v>
      </c>
      <c r="E254" s="92">
        <v>69.349999999999994</v>
      </c>
      <c r="F254" s="92">
        <v>38.950000000000003</v>
      </c>
      <c r="G254" s="92">
        <v>74.25</v>
      </c>
      <c r="H254" s="92">
        <v>24.5</v>
      </c>
      <c r="I254" s="92">
        <f t="shared" si="8"/>
        <v>20</v>
      </c>
      <c r="J254" s="92">
        <f t="shared" si="9"/>
        <v>12.58</v>
      </c>
      <c r="K254" s="58">
        <v>0</v>
      </c>
      <c r="L254" s="58">
        <v>0</v>
      </c>
      <c r="M254" s="58">
        <v>1000</v>
      </c>
      <c r="N254" s="101">
        <v>1.44</v>
      </c>
      <c r="O254" s="33">
        <v>0</v>
      </c>
      <c r="P254" s="105">
        <v>7.4499999999999997E-2</v>
      </c>
      <c r="Q254" s="113">
        <v>0.51</v>
      </c>
      <c r="R254" s="105">
        <v>1E-4</v>
      </c>
      <c r="S254" s="109">
        <v>22.93</v>
      </c>
      <c r="T254" s="109">
        <v>56.23</v>
      </c>
      <c r="U254" s="109">
        <v>108.1</v>
      </c>
      <c r="V254" s="43">
        <v>1.0818000000000001</v>
      </c>
      <c r="W254" s="44">
        <v>-9.4999999999999998E-3</v>
      </c>
    </row>
    <row r="255" spans="1:23" x14ac:dyDescent="0.25">
      <c r="A255" s="80">
        <v>2</v>
      </c>
      <c r="B255" s="81" t="s">
        <v>16</v>
      </c>
      <c r="C255" s="82" t="s">
        <v>293</v>
      </c>
      <c r="D255" s="51">
        <v>0</v>
      </c>
      <c r="E255" s="92">
        <v>69.349999999999994</v>
      </c>
      <c r="F255" s="92">
        <v>38.950000000000003</v>
      </c>
      <c r="G255" s="92">
        <v>74.150000000000006</v>
      </c>
      <c r="H255" s="92">
        <v>24.5</v>
      </c>
      <c r="I255" s="92">
        <f t="shared" si="8"/>
        <v>19.59</v>
      </c>
      <c r="J255" s="92">
        <f t="shared" si="9"/>
        <v>12.32</v>
      </c>
      <c r="K255" s="58">
        <v>0</v>
      </c>
      <c r="L255" s="58">
        <v>0</v>
      </c>
      <c r="M255" s="58">
        <v>1000</v>
      </c>
      <c r="N255" s="101">
        <v>1.44</v>
      </c>
      <c r="O255" s="33">
        <v>0</v>
      </c>
      <c r="P255" s="105">
        <v>7.1099999999999997E-2</v>
      </c>
      <c r="Q255" s="113">
        <v>0.51</v>
      </c>
      <c r="R255" s="105">
        <v>1E-4</v>
      </c>
      <c r="S255" s="109">
        <v>22.93</v>
      </c>
      <c r="T255" s="109">
        <v>56.23</v>
      </c>
      <c r="U255" s="109">
        <v>108.1</v>
      </c>
      <c r="V255" s="43">
        <v>1.0818000000000001</v>
      </c>
      <c r="W255" s="44">
        <v>-9.4999999999999998E-3</v>
      </c>
    </row>
    <row r="256" spans="1:23" x14ac:dyDescent="0.25">
      <c r="A256" s="80">
        <v>2</v>
      </c>
      <c r="B256" s="81" t="s">
        <v>16</v>
      </c>
      <c r="C256" s="82" t="s">
        <v>294</v>
      </c>
      <c r="D256" s="51">
        <v>0</v>
      </c>
      <c r="E256" s="92">
        <v>69.349999999999994</v>
      </c>
      <c r="F256" s="92">
        <v>38.950000000000003</v>
      </c>
      <c r="G256" s="92">
        <v>74.040000000000006</v>
      </c>
      <c r="H256" s="92">
        <v>24.5</v>
      </c>
      <c r="I256" s="92">
        <f t="shared" si="8"/>
        <v>19.14</v>
      </c>
      <c r="J256" s="92">
        <f t="shared" si="9"/>
        <v>12.04</v>
      </c>
      <c r="K256" s="58">
        <v>0</v>
      </c>
      <c r="L256" s="58">
        <v>0</v>
      </c>
      <c r="M256" s="58">
        <v>1000</v>
      </c>
      <c r="N256" s="101">
        <v>1.44</v>
      </c>
      <c r="O256" s="33">
        <v>0</v>
      </c>
      <c r="P256" s="105">
        <v>7.0999999999999994E-2</v>
      </c>
      <c r="Q256" s="113">
        <v>0.5</v>
      </c>
      <c r="R256" s="105">
        <v>1E-4</v>
      </c>
      <c r="S256" s="109">
        <v>22.93</v>
      </c>
      <c r="T256" s="109">
        <v>56.23</v>
      </c>
      <c r="U256" s="109">
        <v>108.1</v>
      </c>
      <c r="V256" s="43">
        <v>1.0818000000000001</v>
      </c>
      <c r="W256" s="44">
        <v>-9.4999999999999998E-3</v>
      </c>
    </row>
    <row r="257" spans="1:23" x14ac:dyDescent="0.25">
      <c r="A257" s="80">
        <v>2</v>
      </c>
      <c r="B257" s="81" t="s">
        <v>16</v>
      </c>
      <c r="C257" s="82" t="s">
        <v>295</v>
      </c>
      <c r="D257" s="51">
        <v>0</v>
      </c>
      <c r="E257" s="92">
        <v>69.349999999999994</v>
      </c>
      <c r="F257" s="92">
        <v>38.950000000000003</v>
      </c>
      <c r="G257" s="92">
        <v>73.930000000000007</v>
      </c>
      <c r="H257" s="92">
        <v>24.5</v>
      </c>
      <c r="I257" s="92">
        <f t="shared" si="8"/>
        <v>18.690000000000001</v>
      </c>
      <c r="J257" s="92">
        <f t="shared" si="9"/>
        <v>11.76</v>
      </c>
      <c r="K257" s="58">
        <v>0</v>
      </c>
      <c r="L257" s="58">
        <v>0</v>
      </c>
      <c r="M257" s="58">
        <v>1000</v>
      </c>
      <c r="N257" s="101">
        <v>1.44</v>
      </c>
      <c r="O257" s="33">
        <v>0</v>
      </c>
      <c r="P257" s="105">
        <v>6.93E-2</v>
      </c>
      <c r="Q257" s="113">
        <v>0.5</v>
      </c>
      <c r="R257" s="105">
        <v>0</v>
      </c>
      <c r="S257" s="109">
        <v>22.93</v>
      </c>
      <c r="T257" s="109">
        <v>56.23</v>
      </c>
      <c r="U257" s="109">
        <v>108.1</v>
      </c>
      <c r="V257" s="43">
        <v>1.0818000000000001</v>
      </c>
      <c r="W257" s="44">
        <v>-9.4999999999999998E-3</v>
      </c>
    </row>
    <row r="258" spans="1:23" x14ac:dyDescent="0.25">
      <c r="A258" s="80">
        <v>2</v>
      </c>
      <c r="B258" s="81" t="s">
        <v>16</v>
      </c>
      <c r="C258" s="82" t="s">
        <v>296</v>
      </c>
      <c r="D258" s="51">
        <v>0</v>
      </c>
      <c r="E258" s="92">
        <v>69.349999999999994</v>
      </c>
      <c r="F258" s="92">
        <v>38.950000000000003</v>
      </c>
      <c r="G258" s="92">
        <v>73.83</v>
      </c>
      <c r="H258" s="92">
        <v>24.5</v>
      </c>
      <c r="I258" s="92">
        <f t="shared" si="8"/>
        <v>18.29</v>
      </c>
      <c r="J258" s="92">
        <f t="shared" si="9"/>
        <v>11.5</v>
      </c>
      <c r="K258" s="58">
        <v>0</v>
      </c>
      <c r="L258" s="58">
        <v>0</v>
      </c>
      <c r="M258" s="58">
        <v>1000</v>
      </c>
      <c r="N258" s="101">
        <v>1.44</v>
      </c>
      <c r="O258" s="33">
        <v>0</v>
      </c>
      <c r="P258" s="105">
        <v>6.9000000000000006E-2</v>
      </c>
      <c r="Q258" s="113">
        <v>0.5</v>
      </c>
      <c r="R258" s="105">
        <v>0</v>
      </c>
      <c r="S258" s="109">
        <v>22.93</v>
      </c>
      <c r="T258" s="109">
        <v>56.23</v>
      </c>
      <c r="U258" s="109">
        <v>108.1</v>
      </c>
      <c r="V258" s="43">
        <v>1.0818000000000001</v>
      </c>
      <c r="W258" s="44">
        <v>-9.4999999999999998E-3</v>
      </c>
    </row>
    <row r="259" spans="1:23" x14ac:dyDescent="0.25">
      <c r="A259" s="80">
        <v>2</v>
      </c>
      <c r="B259" s="81" t="s">
        <v>16</v>
      </c>
      <c r="C259" s="82" t="s">
        <v>297</v>
      </c>
      <c r="D259" s="51">
        <v>0</v>
      </c>
      <c r="E259" s="92">
        <v>69.349999999999994</v>
      </c>
      <c r="F259" s="92">
        <v>38.950000000000003</v>
      </c>
      <c r="G259" s="92">
        <v>73.72</v>
      </c>
      <c r="H259" s="92">
        <v>24.5</v>
      </c>
      <c r="I259" s="92">
        <f t="shared" si="8"/>
        <v>17.84</v>
      </c>
      <c r="J259" s="92">
        <f t="shared" si="9"/>
        <v>11.22</v>
      </c>
      <c r="K259" s="58">
        <v>0</v>
      </c>
      <c r="L259" s="58">
        <v>0</v>
      </c>
      <c r="M259" s="58">
        <v>1000</v>
      </c>
      <c r="N259" s="101">
        <v>1.44</v>
      </c>
      <c r="O259" s="33">
        <v>0</v>
      </c>
      <c r="P259" s="105">
        <v>6.7400000000000002E-2</v>
      </c>
      <c r="Q259" s="113">
        <v>0.5</v>
      </c>
      <c r="R259" s="105">
        <v>0</v>
      </c>
      <c r="S259" s="109">
        <v>22.93</v>
      </c>
      <c r="T259" s="109">
        <v>56.23</v>
      </c>
      <c r="U259" s="109">
        <v>108.1</v>
      </c>
      <c r="V259" s="43">
        <v>1.0818000000000001</v>
      </c>
      <c r="W259" s="44">
        <v>-9.4999999999999998E-3</v>
      </c>
    </row>
    <row r="260" spans="1:23" x14ac:dyDescent="0.25">
      <c r="A260" s="80">
        <v>2</v>
      </c>
      <c r="B260" s="81" t="s">
        <v>16</v>
      </c>
      <c r="C260" s="82" t="s">
        <v>298</v>
      </c>
      <c r="D260" s="51">
        <v>0</v>
      </c>
      <c r="E260" s="92">
        <v>69.349999999999994</v>
      </c>
      <c r="F260" s="92">
        <v>38.950000000000003</v>
      </c>
      <c r="G260" s="92">
        <v>73.62</v>
      </c>
      <c r="H260" s="92">
        <v>24.5</v>
      </c>
      <c r="I260" s="92">
        <f t="shared" si="8"/>
        <v>17.43</v>
      </c>
      <c r="J260" s="92">
        <f t="shared" si="9"/>
        <v>10.96</v>
      </c>
      <c r="K260" s="58">
        <v>0</v>
      </c>
      <c r="L260" s="58">
        <v>0</v>
      </c>
      <c r="M260" s="58">
        <v>1000</v>
      </c>
      <c r="N260" s="101">
        <v>1.44</v>
      </c>
      <c r="O260" s="33">
        <v>0</v>
      </c>
      <c r="P260" s="105">
        <v>6.7000000000000004E-2</v>
      </c>
      <c r="Q260" s="113">
        <v>0.49</v>
      </c>
      <c r="R260" s="105">
        <v>0</v>
      </c>
      <c r="S260" s="109">
        <v>22.93</v>
      </c>
      <c r="T260" s="109">
        <v>56.23</v>
      </c>
      <c r="U260" s="109">
        <v>108.1</v>
      </c>
      <c r="V260" s="43">
        <v>1.0818000000000001</v>
      </c>
      <c r="W260" s="44">
        <v>-9.4999999999999998E-3</v>
      </c>
    </row>
    <row r="261" spans="1:23" x14ac:dyDescent="0.25">
      <c r="A261" s="80">
        <v>2</v>
      </c>
      <c r="B261" s="81" t="s">
        <v>16</v>
      </c>
      <c r="C261" s="82" t="s">
        <v>299</v>
      </c>
      <c r="D261" s="51">
        <v>0</v>
      </c>
      <c r="E261" s="92">
        <v>69.349999999999994</v>
      </c>
      <c r="F261" s="92">
        <v>38.950000000000003</v>
      </c>
      <c r="G261" s="92">
        <v>73.510000000000005</v>
      </c>
      <c r="H261" s="92">
        <v>24.5</v>
      </c>
      <c r="I261" s="92">
        <f t="shared" si="8"/>
        <v>16.98</v>
      </c>
      <c r="J261" s="92">
        <f t="shared" si="9"/>
        <v>10.68</v>
      </c>
      <c r="K261" s="58">
        <v>0</v>
      </c>
      <c r="L261" s="58">
        <v>0</v>
      </c>
      <c r="M261" s="58">
        <v>1000</v>
      </c>
      <c r="N261" s="101">
        <v>1.44</v>
      </c>
      <c r="O261" s="33">
        <v>0</v>
      </c>
      <c r="P261" s="105">
        <v>6.3E-2</v>
      </c>
      <c r="Q261" s="113">
        <v>0.5</v>
      </c>
      <c r="R261" s="105">
        <v>0</v>
      </c>
      <c r="S261" s="109">
        <v>22.93</v>
      </c>
      <c r="T261" s="109">
        <v>56.23</v>
      </c>
      <c r="U261" s="109">
        <v>108.1</v>
      </c>
      <c r="V261" s="43">
        <v>1.0818000000000001</v>
      </c>
      <c r="W261" s="44">
        <v>-9.4999999999999998E-3</v>
      </c>
    </row>
    <row r="262" spans="1:23" x14ac:dyDescent="0.25">
      <c r="A262" s="80">
        <v>2</v>
      </c>
      <c r="B262" s="81" t="s">
        <v>16</v>
      </c>
      <c r="C262" s="82" t="s">
        <v>300</v>
      </c>
      <c r="D262" s="51">
        <v>0</v>
      </c>
      <c r="E262" s="92">
        <v>69.349999999999994</v>
      </c>
      <c r="F262" s="92">
        <v>38.950000000000003</v>
      </c>
      <c r="G262" s="92">
        <v>73.41</v>
      </c>
      <c r="H262" s="92">
        <v>24.5</v>
      </c>
      <c r="I262" s="92">
        <f t="shared" si="8"/>
        <v>16.57</v>
      </c>
      <c r="J262" s="92">
        <f t="shared" si="9"/>
        <v>10.42</v>
      </c>
      <c r="K262" s="58">
        <v>0</v>
      </c>
      <c r="L262" s="58">
        <v>0</v>
      </c>
      <c r="M262" s="58">
        <v>1000</v>
      </c>
      <c r="N262" s="101">
        <v>1.44</v>
      </c>
      <c r="O262" s="33">
        <v>0</v>
      </c>
      <c r="P262" s="105">
        <v>6.3799999999999996E-2</v>
      </c>
      <c r="Q262" s="113">
        <v>0.49</v>
      </c>
      <c r="R262" s="105">
        <v>0</v>
      </c>
      <c r="S262" s="109">
        <v>22.93</v>
      </c>
      <c r="T262" s="109">
        <v>56.23</v>
      </c>
      <c r="U262" s="109">
        <v>108.1</v>
      </c>
      <c r="V262" s="43">
        <v>1.0818000000000001</v>
      </c>
      <c r="W262" s="44">
        <v>-9.4999999999999998E-3</v>
      </c>
    </row>
    <row r="263" spans="1:23" x14ac:dyDescent="0.25">
      <c r="A263" s="80">
        <v>2</v>
      </c>
      <c r="B263" s="81" t="s">
        <v>16</v>
      </c>
      <c r="C263" s="82" t="s">
        <v>301</v>
      </c>
      <c r="D263" s="51">
        <v>0</v>
      </c>
      <c r="E263" s="92">
        <v>69.349999999999994</v>
      </c>
      <c r="F263" s="92">
        <v>38.950000000000003</v>
      </c>
      <c r="G263" s="92">
        <v>73.3</v>
      </c>
      <c r="H263" s="92">
        <v>24.5</v>
      </c>
      <c r="I263" s="92">
        <f t="shared" si="8"/>
        <v>16.12</v>
      </c>
      <c r="J263" s="92">
        <f t="shared" si="9"/>
        <v>10.14</v>
      </c>
      <c r="K263" s="58">
        <v>0</v>
      </c>
      <c r="L263" s="58">
        <v>0</v>
      </c>
      <c r="M263" s="58">
        <v>1000</v>
      </c>
      <c r="N263" s="101">
        <v>1.44</v>
      </c>
      <c r="O263" s="33">
        <v>0</v>
      </c>
      <c r="P263" s="105">
        <v>6.13E-2</v>
      </c>
      <c r="Q263" s="113">
        <v>0.49</v>
      </c>
      <c r="R263" s="105">
        <v>0</v>
      </c>
      <c r="S263" s="109">
        <v>22.93</v>
      </c>
      <c r="T263" s="109">
        <v>56.23</v>
      </c>
      <c r="U263" s="109">
        <v>108.1</v>
      </c>
      <c r="V263" s="43">
        <v>1.0818000000000001</v>
      </c>
      <c r="W263" s="44">
        <v>-9.4999999999999998E-3</v>
      </c>
    </row>
    <row r="264" spans="1:23" x14ac:dyDescent="0.25">
      <c r="A264" s="80">
        <v>2</v>
      </c>
      <c r="B264" s="81" t="s">
        <v>16</v>
      </c>
      <c r="C264" s="82" t="s">
        <v>302</v>
      </c>
      <c r="D264" s="51">
        <v>0</v>
      </c>
      <c r="E264" s="92">
        <v>69.349999999999994</v>
      </c>
      <c r="F264" s="92">
        <v>38.950000000000003</v>
      </c>
      <c r="G264" s="92">
        <v>73.2</v>
      </c>
      <c r="H264" s="92">
        <v>24.5</v>
      </c>
      <c r="I264" s="92">
        <f t="shared" si="8"/>
        <v>15.71</v>
      </c>
      <c r="J264" s="92">
        <f t="shared" si="9"/>
        <v>9.8800000000000008</v>
      </c>
      <c r="K264" s="58">
        <v>0</v>
      </c>
      <c r="L264" s="58">
        <v>0</v>
      </c>
      <c r="M264" s="58">
        <v>1000</v>
      </c>
      <c r="N264" s="101">
        <v>1.44</v>
      </c>
      <c r="O264" s="33">
        <v>0</v>
      </c>
      <c r="P264" s="105">
        <v>5.96E-2</v>
      </c>
      <c r="Q264" s="113">
        <v>0.49</v>
      </c>
      <c r="R264" s="105">
        <v>0</v>
      </c>
      <c r="S264" s="109">
        <v>22.93</v>
      </c>
      <c r="T264" s="109">
        <v>56.23</v>
      </c>
      <c r="U264" s="109">
        <v>108.1</v>
      </c>
      <c r="V264" s="43">
        <v>1.0818000000000001</v>
      </c>
      <c r="W264" s="44">
        <v>-9.4999999999999998E-3</v>
      </c>
    </row>
    <row r="265" spans="1:23" x14ac:dyDescent="0.25">
      <c r="A265" s="80">
        <v>2</v>
      </c>
      <c r="B265" s="81" t="s">
        <v>16</v>
      </c>
      <c r="C265" s="82" t="s">
        <v>303</v>
      </c>
      <c r="D265" s="51">
        <v>0</v>
      </c>
      <c r="E265" s="92">
        <v>69.349999999999994</v>
      </c>
      <c r="F265" s="92">
        <v>38.950000000000003</v>
      </c>
      <c r="G265" s="92">
        <v>73.099999999999994</v>
      </c>
      <c r="H265" s="92">
        <v>24.5</v>
      </c>
      <c r="I265" s="92">
        <f t="shared" si="8"/>
        <v>15.31</v>
      </c>
      <c r="J265" s="92">
        <f t="shared" si="9"/>
        <v>9.6300000000000008</v>
      </c>
      <c r="K265" s="58">
        <v>0</v>
      </c>
      <c r="L265" s="58">
        <v>0</v>
      </c>
      <c r="M265" s="58">
        <v>1000</v>
      </c>
      <c r="N265" s="101">
        <v>1.44</v>
      </c>
      <c r="O265" s="33">
        <v>0</v>
      </c>
      <c r="P265" s="105">
        <v>5.9900000000000002E-2</v>
      </c>
      <c r="Q265" s="113">
        <v>0.48</v>
      </c>
      <c r="R265" s="105">
        <v>0</v>
      </c>
      <c r="S265" s="109">
        <v>22.93</v>
      </c>
      <c r="T265" s="109">
        <v>56.23</v>
      </c>
      <c r="U265" s="109">
        <v>108.1</v>
      </c>
      <c r="V265" s="43">
        <v>1.0818000000000001</v>
      </c>
      <c r="W265" s="44">
        <v>-9.4999999999999998E-3</v>
      </c>
    </row>
    <row r="266" spans="1:23" x14ac:dyDescent="0.25">
      <c r="A266" s="80">
        <v>2</v>
      </c>
      <c r="B266" s="81" t="s">
        <v>16</v>
      </c>
      <c r="C266" s="82" t="s">
        <v>304</v>
      </c>
      <c r="D266" s="51">
        <v>0</v>
      </c>
      <c r="E266" s="92">
        <v>69.349999999999994</v>
      </c>
      <c r="F266" s="92">
        <v>38.950000000000003</v>
      </c>
      <c r="G266" s="92">
        <v>72.989999999999995</v>
      </c>
      <c r="H266" s="92">
        <v>24.5</v>
      </c>
      <c r="I266" s="92">
        <f t="shared" si="8"/>
        <v>14.86</v>
      </c>
      <c r="J266" s="92">
        <f t="shared" si="9"/>
        <v>9.35</v>
      </c>
      <c r="K266" s="58">
        <v>0</v>
      </c>
      <c r="L266" s="58">
        <v>0</v>
      </c>
      <c r="M266" s="58">
        <v>1000</v>
      </c>
      <c r="N266" s="101">
        <v>1.44</v>
      </c>
      <c r="O266" s="33">
        <v>0</v>
      </c>
      <c r="P266" s="105">
        <v>5.7500000000000002E-2</v>
      </c>
      <c r="Q266" s="113">
        <v>0.48</v>
      </c>
      <c r="R266" s="105">
        <v>0</v>
      </c>
      <c r="S266" s="109">
        <v>22.93</v>
      </c>
      <c r="T266" s="109">
        <v>56.23</v>
      </c>
      <c r="U266" s="109">
        <v>108.1</v>
      </c>
      <c r="V266" s="43">
        <v>1.0818000000000001</v>
      </c>
      <c r="W266" s="44">
        <v>-9.4999999999999998E-3</v>
      </c>
    </row>
    <row r="267" spans="1:23" x14ac:dyDescent="0.25">
      <c r="A267" s="80">
        <v>2</v>
      </c>
      <c r="B267" s="81" t="s">
        <v>16</v>
      </c>
      <c r="C267" s="82" t="s">
        <v>305</v>
      </c>
      <c r="D267" s="51">
        <v>0</v>
      </c>
      <c r="E267" s="92">
        <v>69.349999999999994</v>
      </c>
      <c r="F267" s="92">
        <v>38.950000000000003</v>
      </c>
      <c r="G267" s="92">
        <v>72.89</v>
      </c>
      <c r="H267" s="92">
        <v>24.5</v>
      </c>
      <c r="I267" s="92">
        <f t="shared" si="8"/>
        <v>14.45</v>
      </c>
      <c r="J267" s="92">
        <f t="shared" si="9"/>
        <v>9.09</v>
      </c>
      <c r="K267" s="58">
        <v>0</v>
      </c>
      <c r="L267" s="58">
        <v>0</v>
      </c>
      <c r="M267" s="58">
        <v>1000</v>
      </c>
      <c r="N267" s="101">
        <v>1.44</v>
      </c>
      <c r="O267" s="33">
        <v>0</v>
      </c>
      <c r="P267" s="105">
        <v>5.6399999999999999E-2</v>
      </c>
      <c r="Q267" s="113">
        <v>0.48</v>
      </c>
      <c r="R267" s="105">
        <v>0</v>
      </c>
      <c r="S267" s="109">
        <v>22.93</v>
      </c>
      <c r="T267" s="109">
        <v>56.23</v>
      </c>
      <c r="U267" s="109">
        <v>108.1</v>
      </c>
      <c r="V267" s="43">
        <v>1.0818000000000001</v>
      </c>
      <c r="W267" s="44">
        <v>-9.4999999999999998E-3</v>
      </c>
    </row>
    <row r="268" spans="1:23" x14ac:dyDescent="0.25">
      <c r="A268" s="80">
        <v>2</v>
      </c>
      <c r="B268" s="81" t="s">
        <v>16</v>
      </c>
      <c r="C268" s="82" t="s">
        <v>306</v>
      </c>
      <c r="D268" s="51">
        <v>0</v>
      </c>
      <c r="E268" s="92">
        <v>69.349999999999994</v>
      </c>
      <c r="F268" s="92">
        <v>38.950000000000003</v>
      </c>
      <c r="G268" s="92">
        <v>72.790000000000006</v>
      </c>
      <c r="H268" s="92">
        <v>24.5</v>
      </c>
      <c r="I268" s="92">
        <f t="shared" si="8"/>
        <v>14.04</v>
      </c>
      <c r="J268" s="92">
        <f t="shared" si="9"/>
        <v>8.83</v>
      </c>
      <c r="K268" s="58">
        <v>0</v>
      </c>
      <c r="L268" s="58">
        <v>0</v>
      </c>
      <c r="M268" s="58">
        <v>1000</v>
      </c>
      <c r="N268" s="101">
        <v>1.44</v>
      </c>
      <c r="O268" s="33">
        <v>0</v>
      </c>
      <c r="P268" s="105">
        <v>5.4600000000000003E-2</v>
      </c>
      <c r="Q268" s="113">
        <v>0.48</v>
      </c>
      <c r="R268" s="105">
        <v>0</v>
      </c>
      <c r="S268" s="109">
        <v>22.93</v>
      </c>
      <c r="T268" s="109">
        <v>56.23</v>
      </c>
      <c r="U268" s="109">
        <v>108.1</v>
      </c>
      <c r="V268" s="43">
        <v>1.0818000000000001</v>
      </c>
      <c r="W268" s="44">
        <v>-9.4999999999999998E-3</v>
      </c>
    </row>
    <row r="269" spans="1:23" x14ac:dyDescent="0.25">
      <c r="A269" s="80">
        <v>2</v>
      </c>
      <c r="B269" s="81" t="s">
        <v>16</v>
      </c>
      <c r="C269" s="82" t="s">
        <v>307</v>
      </c>
      <c r="D269" s="51">
        <v>0</v>
      </c>
      <c r="E269" s="92">
        <v>69.349999999999994</v>
      </c>
      <c r="F269" s="92">
        <v>38.950000000000003</v>
      </c>
      <c r="G269" s="92">
        <v>72.69</v>
      </c>
      <c r="H269" s="92">
        <v>24.5</v>
      </c>
      <c r="I269" s="92">
        <f t="shared" si="8"/>
        <v>13.63</v>
      </c>
      <c r="J269" s="92">
        <f t="shared" si="9"/>
        <v>8.58</v>
      </c>
      <c r="K269" s="58">
        <v>0</v>
      </c>
      <c r="L269" s="58">
        <v>0</v>
      </c>
      <c r="M269" s="58">
        <v>1000</v>
      </c>
      <c r="N269" s="101">
        <v>1.44</v>
      </c>
      <c r="O269" s="33">
        <v>0</v>
      </c>
      <c r="P269" s="105">
        <v>5.3199999999999997E-2</v>
      </c>
      <c r="Q269" s="113">
        <v>0.48</v>
      </c>
      <c r="R269" s="105">
        <v>0</v>
      </c>
      <c r="S269" s="109">
        <v>22.93</v>
      </c>
      <c r="T269" s="109">
        <v>56.23</v>
      </c>
      <c r="U269" s="109">
        <v>108.1</v>
      </c>
      <c r="V269" s="43">
        <v>1.0818000000000001</v>
      </c>
      <c r="W269" s="44">
        <v>-9.4999999999999998E-3</v>
      </c>
    </row>
    <row r="270" spans="1:23" x14ac:dyDescent="0.25">
      <c r="A270" s="80">
        <v>2</v>
      </c>
      <c r="B270" s="81" t="s">
        <v>16</v>
      </c>
      <c r="C270" s="82" t="s">
        <v>308</v>
      </c>
      <c r="D270" s="51">
        <v>0</v>
      </c>
      <c r="E270" s="92">
        <v>69.349999999999994</v>
      </c>
      <c r="F270" s="92">
        <v>38.950000000000003</v>
      </c>
      <c r="G270" s="92">
        <v>72.58</v>
      </c>
      <c r="H270" s="92">
        <v>24.5</v>
      </c>
      <c r="I270" s="92">
        <f t="shared" si="8"/>
        <v>13.18</v>
      </c>
      <c r="J270" s="92">
        <f t="shared" si="9"/>
        <v>8.2899999999999991</v>
      </c>
      <c r="K270" s="58">
        <v>0</v>
      </c>
      <c r="L270" s="58">
        <v>0</v>
      </c>
      <c r="M270" s="58">
        <v>1000</v>
      </c>
      <c r="N270" s="101">
        <v>1.44</v>
      </c>
      <c r="O270" s="33">
        <v>0</v>
      </c>
      <c r="P270" s="105">
        <v>5.1900000000000002E-2</v>
      </c>
      <c r="Q270" s="113">
        <v>0.47</v>
      </c>
      <c r="R270" s="105">
        <v>0</v>
      </c>
      <c r="S270" s="109">
        <v>22.93</v>
      </c>
      <c r="T270" s="109">
        <v>56.23</v>
      </c>
      <c r="U270" s="109">
        <v>108.1</v>
      </c>
      <c r="V270" s="43">
        <v>1.0818000000000001</v>
      </c>
      <c r="W270" s="44">
        <v>-9.4999999999999998E-3</v>
      </c>
    </row>
    <row r="271" spans="1:23" x14ac:dyDescent="0.25">
      <c r="A271" s="80">
        <v>2</v>
      </c>
      <c r="B271" s="81" t="s">
        <v>16</v>
      </c>
      <c r="C271" s="82" t="s">
        <v>309</v>
      </c>
      <c r="D271" s="51">
        <v>0</v>
      </c>
      <c r="E271" s="92">
        <v>69.349999999999994</v>
      </c>
      <c r="F271" s="92">
        <v>38.950000000000003</v>
      </c>
      <c r="G271" s="92">
        <v>72.48</v>
      </c>
      <c r="H271" s="92">
        <v>24.5</v>
      </c>
      <c r="I271" s="92">
        <f t="shared" si="8"/>
        <v>12.78</v>
      </c>
      <c r="J271" s="92">
        <f t="shared" si="9"/>
        <v>8.0399999999999991</v>
      </c>
      <c r="K271" s="58">
        <v>0</v>
      </c>
      <c r="L271" s="58">
        <v>0</v>
      </c>
      <c r="M271" s="58">
        <v>1000</v>
      </c>
      <c r="N271" s="101">
        <v>1.44</v>
      </c>
      <c r="O271" s="33">
        <v>0</v>
      </c>
      <c r="P271" s="105">
        <v>5.2699999999999997E-2</v>
      </c>
      <c r="Q271" s="113">
        <v>0.46</v>
      </c>
      <c r="R271" s="105">
        <v>0</v>
      </c>
      <c r="S271" s="109">
        <v>22.93</v>
      </c>
      <c r="T271" s="109">
        <v>56.23</v>
      </c>
      <c r="U271" s="109">
        <v>108.1</v>
      </c>
      <c r="V271" s="43">
        <v>1.0818000000000001</v>
      </c>
      <c r="W271" s="44">
        <v>-9.4999999999999998E-3</v>
      </c>
    </row>
    <row r="272" spans="1:23" x14ac:dyDescent="0.25">
      <c r="A272" s="80">
        <v>2</v>
      </c>
      <c r="B272" s="81" t="s">
        <v>16</v>
      </c>
      <c r="C272" s="82" t="s">
        <v>310</v>
      </c>
      <c r="D272" s="51">
        <v>0</v>
      </c>
      <c r="E272" s="92">
        <v>69.349999999999994</v>
      </c>
      <c r="F272" s="92">
        <v>38.950000000000003</v>
      </c>
      <c r="G272" s="92">
        <v>72.38</v>
      </c>
      <c r="H272" s="92">
        <v>24.5</v>
      </c>
      <c r="I272" s="92">
        <f t="shared" si="8"/>
        <v>12.37</v>
      </c>
      <c r="J272" s="92">
        <f t="shared" si="9"/>
        <v>7.78</v>
      </c>
      <c r="K272" s="58">
        <v>0</v>
      </c>
      <c r="L272" s="58">
        <v>0</v>
      </c>
      <c r="M272" s="58">
        <v>1000</v>
      </c>
      <c r="N272" s="101">
        <v>1.44</v>
      </c>
      <c r="O272" s="33">
        <v>0</v>
      </c>
      <c r="P272" s="105">
        <v>4.9299999999999997E-2</v>
      </c>
      <c r="Q272" s="113">
        <v>0.46</v>
      </c>
      <c r="R272" s="105">
        <v>0</v>
      </c>
      <c r="S272" s="109">
        <v>22.93</v>
      </c>
      <c r="T272" s="109">
        <v>56.23</v>
      </c>
      <c r="U272" s="109">
        <v>108.1</v>
      </c>
      <c r="V272" s="43">
        <v>1.0818000000000001</v>
      </c>
      <c r="W272" s="44">
        <v>-9.4999999999999998E-3</v>
      </c>
    </row>
    <row r="273" spans="1:23" x14ac:dyDescent="0.25">
      <c r="A273" s="80">
        <v>2</v>
      </c>
      <c r="B273" s="81" t="s">
        <v>16</v>
      </c>
      <c r="C273" s="82" t="s">
        <v>311</v>
      </c>
      <c r="D273" s="51">
        <v>0</v>
      </c>
      <c r="E273" s="92">
        <v>69.349999999999994</v>
      </c>
      <c r="F273" s="92">
        <v>38.950000000000003</v>
      </c>
      <c r="G273" s="92">
        <v>72.28</v>
      </c>
      <c r="H273" s="92">
        <v>24.5</v>
      </c>
      <c r="I273" s="92">
        <f t="shared" ref="I273:I309" si="10">100*(G273-E273)/H273</f>
        <v>11.96</v>
      </c>
      <c r="J273" s="92">
        <f t="shared" ref="J273:J309" si="11">100*(G273-E273)/F273</f>
        <v>7.52</v>
      </c>
      <c r="K273" s="58">
        <v>0</v>
      </c>
      <c r="L273" s="58">
        <v>0</v>
      </c>
      <c r="M273" s="58">
        <v>1000</v>
      </c>
      <c r="N273" s="101">
        <v>1.44</v>
      </c>
      <c r="O273" s="33">
        <v>0</v>
      </c>
      <c r="P273" s="105">
        <v>4.7699999999999999E-2</v>
      </c>
      <c r="Q273" s="113">
        <v>0.46</v>
      </c>
      <c r="R273" s="105">
        <v>0</v>
      </c>
      <c r="S273" s="109">
        <v>22.93</v>
      </c>
      <c r="T273" s="109">
        <v>56.23</v>
      </c>
      <c r="U273" s="109">
        <v>108.1</v>
      </c>
      <c r="V273" s="43">
        <v>1.0818000000000001</v>
      </c>
      <c r="W273" s="44">
        <v>-9.4999999999999998E-3</v>
      </c>
    </row>
    <row r="274" spans="1:23" x14ac:dyDescent="0.25">
      <c r="A274" s="80">
        <v>2</v>
      </c>
      <c r="B274" s="81" t="s">
        <v>16</v>
      </c>
      <c r="C274" s="82" t="s">
        <v>312</v>
      </c>
      <c r="D274" s="51">
        <v>0</v>
      </c>
      <c r="E274" s="92">
        <v>69.349999999999994</v>
      </c>
      <c r="F274" s="92">
        <v>38.950000000000003</v>
      </c>
      <c r="G274" s="92">
        <v>72.180000000000007</v>
      </c>
      <c r="H274" s="92">
        <v>24.5</v>
      </c>
      <c r="I274" s="92">
        <f t="shared" si="10"/>
        <v>11.55</v>
      </c>
      <c r="J274" s="92">
        <f t="shared" si="11"/>
        <v>7.27</v>
      </c>
      <c r="K274" s="58">
        <v>0</v>
      </c>
      <c r="L274" s="58">
        <v>0</v>
      </c>
      <c r="M274" s="58">
        <v>1000</v>
      </c>
      <c r="N274" s="101">
        <v>1.44</v>
      </c>
      <c r="O274" s="33">
        <v>0</v>
      </c>
      <c r="P274" s="105">
        <v>4.5699999999999998E-2</v>
      </c>
      <c r="Q274" s="113">
        <v>0.46</v>
      </c>
      <c r="R274" s="105">
        <v>0</v>
      </c>
      <c r="S274" s="109">
        <v>22.93</v>
      </c>
      <c r="T274" s="109">
        <v>56.23</v>
      </c>
      <c r="U274" s="109">
        <v>108.1</v>
      </c>
      <c r="V274" s="43">
        <v>1.0818000000000001</v>
      </c>
      <c r="W274" s="44">
        <v>-9.4999999999999998E-3</v>
      </c>
    </row>
    <row r="275" spans="1:23" x14ac:dyDescent="0.25">
      <c r="A275" s="80">
        <v>2</v>
      </c>
      <c r="B275" s="81" t="s">
        <v>16</v>
      </c>
      <c r="C275" s="82" t="s">
        <v>313</v>
      </c>
      <c r="D275" s="51">
        <v>0</v>
      </c>
      <c r="E275" s="92">
        <v>69.349999999999994</v>
      </c>
      <c r="F275" s="92">
        <v>38.950000000000003</v>
      </c>
      <c r="G275" s="92">
        <v>72.08</v>
      </c>
      <c r="H275" s="92">
        <v>24.5</v>
      </c>
      <c r="I275" s="92">
        <f t="shared" si="10"/>
        <v>11.14</v>
      </c>
      <c r="J275" s="92">
        <f t="shared" si="11"/>
        <v>7.01</v>
      </c>
      <c r="K275" s="58">
        <v>0</v>
      </c>
      <c r="L275" s="58">
        <v>0</v>
      </c>
      <c r="M275" s="58">
        <v>1000</v>
      </c>
      <c r="N275" s="101">
        <v>1.44</v>
      </c>
      <c r="O275" s="33">
        <v>0</v>
      </c>
      <c r="P275" s="105">
        <v>4.4999999999999998E-2</v>
      </c>
      <c r="Q275" s="113">
        <v>0.45</v>
      </c>
      <c r="R275" s="105">
        <v>0</v>
      </c>
      <c r="S275" s="109">
        <v>22.93</v>
      </c>
      <c r="T275" s="109">
        <v>56.23</v>
      </c>
      <c r="U275" s="109">
        <v>108.1</v>
      </c>
      <c r="V275" s="43">
        <v>1.0818000000000001</v>
      </c>
      <c r="W275" s="44">
        <v>-9.4999999999999998E-3</v>
      </c>
    </row>
    <row r="276" spans="1:23" x14ac:dyDescent="0.25">
      <c r="A276" s="80">
        <v>2</v>
      </c>
      <c r="B276" s="81" t="s">
        <v>16</v>
      </c>
      <c r="C276" s="82" t="s">
        <v>314</v>
      </c>
      <c r="D276" s="51">
        <v>0</v>
      </c>
      <c r="E276" s="92">
        <v>69.349999999999994</v>
      </c>
      <c r="F276" s="92">
        <v>38.950000000000003</v>
      </c>
      <c r="G276" s="92">
        <v>71.97</v>
      </c>
      <c r="H276" s="92">
        <v>24.5</v>
      </c>
      <c r="I276" s="92">
        <f t="shared" si="10"/>
        <v>10.69</v>
      </c>
      <c r="J276" s="92">
        <f t="shared" si="11"/>
        <v>6.73</v>
      </c>
      <c r="K276" s="58">
        <v>0</v>
      </c>
      <c r="L276" s="58">
        <v>0</v>
      </c>
      <c r="M276" s="58">
        <v>1000</v>
      </c>
      <c r="N276" s="101">
        <v>1.44</v>
      </c>
      <c r="O276" s="33">
        <v>0</v>
      </c>
      <c r="P276" s="105">
        <v>4.4600000000000001E-2</v>
      </c>
      <c r="Q276" s="113">
        <v>0.44</v>
      </c>
      <c r="R276" s="105">
        <v>0</v>
      </c>
      <c r="S276" s="109">
        <v>22.93</v>
      </c>
      <c r="T276" s="109">
        <v>56.23</v>
      </c>
      <c r="U276" s="109">
        <v>108.1</v>
      </c>
      <c r="V276" s="43">
        <v>1.0818000000000001</v>
      </c>
      <c r="W276" s="44">
        <v>-9.4999999999999998E-3</v>
      </c>
    </row>
    <row r="277" spans="1:23" x14ac:dyDescent="0.25">
      <c r="A277" s="80">
        <v>2</v>
      </c>
      <c r="B277" s="81" t="s">
        <v>16</v>
      </c>
      <c r="C277" s="82" t="s">
        <v>315</v>
      </c>
      <c r="D277" s="51">
        <v>0</v>
      </c>
      <c r="E277" s="92">
        <v>69.349999999999994</v>
      </c>
      <c r="F277" s="92">
        <v>38.950000000000003</v>
      </c>
      <c r="G277" s="92">
        <v>71.87</v>
      </c>
      <c r="H277" s="92">
        <v>24.5</v>
      </c>
      <c r="I277" s="92">
        <f t="shared" si="10"/>
        <v>10.29</v>
      </c>
      <c r="J277" s="92">
        <f t="shared" si="11"/>
        <v>6.47</v>
      </c>
      <c r="K277" s="58">
        <v>0</v>
      </c>
      <c r="L277" s="58">
        <v>0</v>
      </c>
      <c r="M277" s="58">
        <v>1000</v>
      </c>
      <c r="N277" s="101">
        <v>1.44</v>
      </c>
      <c r="O277" s="33">
        <v>0</v>
      </c>
      <c r="P277" s="105">
        <v>4.2500000000000003E-2</v>
      </c>
      <c r="Q277" s="113">
        <v>0.44</v>
      </c>
      <c r="R277" s="105">
        <v>0</v>
      </c>
      <c r="S277" s="109">
        <v>22.93</v>
      </c>
      <c r="T277" s="109">
        <v>56.23</v>
      </c>
      <c r="U277" s="109">
        <v>108.1</v>
      </c>
      <c r="V277" s="43">
        <v>1.0818000000000001</v>
      </c>
      <c r="W277" s="44">
        <v>-9.4999999999999998E-3</v>
      </c>
    </row>
    <row r="278" spans="1:23" x14ac:dyDescent="0.25">
      <c r="A278" s="80">
        <v>2</v>
      </c>
      <c r="B278" s="81" t="s">
        <v>16</v>
      </c>
      <c r="C278" s="82" t="s">
        <v>316</v>
      </c>
      <c r="D278" s="51">
        <v>0</v>
      </c>
      <c r="E278" s="92">
        <v>69.349999999999994</v>
      </c>
      <c r="F278" s="92">
        <v>38.950000000000003</v>
      </c>
      <c r="G278" s="92">
        <v>71.760000000000005</v>
      </c>
      <c r="H278" s="92">
        <v>24.5</v>
      </c>
      <c r="I278" s="92">
        <f t="shared" si="10"/>
        <v>9.84</v>
      </c>
      <c r="J278" s="92">
        <f t="shared" si="11"/>
        <v>6.19</v>
      </c>
      <c r="K278" s="58">
        <v>0</v>
      </c>
      <c r="L278" s="58">
        <v>0</v>
      </c>
      <c r="M278" s="58">
        <v>1000</v>
      </c>
      <c r="N278" s="101">
        <v>1.44</v>
      </c>
      <c r="O278" s="33">
        <v>0</v>
      </c>
      <c r="P278" s="105">
        <v>4.0599999999999997E-2</v>
      </c>
      <c r="Q278" s="113">
        <v>0.44</v>
      </c>
      <c r="R278" s="105">
        <v>0</v>
      </c>
      <c r="S278" s="109">
        <v>22.93</v>
      </c>
      <c r="T278" s="109">
        <v>56.23</v>
      </c>
      <c r="U278" s="109">
        <v>108.1</v>
      </c>
      <c r="V278" s="43">
        <v>1.0818000000000001</v>
      </c>
      <c r="W278" s="44">
        <v>-9.4999999999999998E-3</v>
      </c>
    </row>
    <row r="279" spans="1:23" x14ac:dyDescent="0.25">
      <c r="A279" s="80">
        <v>2</v>
      </c>
      <c r="B279" s="81" t="s">
        <v>16</v>
      </c>
      <c r="C279" s="82" t="s">
        <v>317</v>
      </c>
      <c r="D279" s="51">
        <v>0</v>
      </c>
      <c r="E279" s="92">
        <v>69.349999999999994</v>
      </c>
      <c r="F279" s="92">
        <v>38.950000000000003</v>
      </c>
      <c r="G279" s="92">
        <v>71.66</v>
      </c>
      <c r="H279" s="92">
        <v>24.5</v>
      </c>
      <c r="I279" s="92">
        <f t="shared" si="10"/>
        <v>9.43</v>
      </c>
      <c r="J279" s="92">
        <f t="shared" si="11"/>
        <v>5.93</v>
      </c>
      <c r="K279" s="58">
        <v>0</v>
      </c>
      <c r="L279" s="58">
        <v>0</v>
      </c>
      <c r="M279" s="58">
        <v>1000</v>
      </c>
      <c r="N279" s="101">
        <v>1.44</v>
      </c>
      <c r="O279" s="33">
        <v>0</v>
      </c>
      <c r="P279" s="105">
        <v>3.9199999999999999E-2</v>
      </c>
      <c r="Q279" s="113">
        <v>0.43</v>
      </c>
      <c r="R279" s="105">
        <v>0</v>
      </c>
      <c r="S279" s="109">
        <v>22.93</v>
      </c>
      <c r="T279" s="109">
        <v>56.23</v>
      </c>
      <c r="U279" s="109">
        <v>108.1</v>
      </c>
      <c r="V279" s="43">
        <v>1.0818000000000001</v>
      </c>
      <c r="W279" s="44">
        <v>-9.4999999999999998E-3</v>
      </c>
    </row>
    <row r="280" spans="1:23" x14ac:dyDescent="0.25">
      <c r="A280" s="80">
        <v>2</v>
      </c>
      <c r="B280" s="81" t="s">
        <v>16</v>
      </c>
      <c r="C280" s="82" t="s">
        <v>318</v>
      </c>
      <c r="D280" s="51">
        <v>0</v>
      </c>
      <c r="E280" s="92">
        <v>69.349999999999994</v>
      </c>
      <c r="F280" s="92">
        <v>38.950000000000003</v>
      </c>
      <c r="G280" s="92">
        <v>71.569999999999993</v>
      </c>
      <c r="H280" s="92">
        <v>24.5</v>
      </c>
      <c r="I280" s="92">
        <f t="shared" si="10"/>
        <v>9.06</v>
      </c>
      <c r="J280" s="92">
        <f t="shared" si="11"/>
        <v>5.7</v>
      </c>
      <c r="K280" s="58">
        <v>0</v>
      </c>
      <c r="L280" s="58">
        <v>0</v>
      </c>
      <c r="M280" s="58">
        <v>1000</v>
      </c>
      <c r="N280" s="101">
        <v>1.44</v>
      </c>
      <c r="O280" s="33">
        <v>0</v>
      </c>
      <c r="P280" s="105">
        <v>3.85E-2</v>
      </c>
      <c r="Q280" s="113">
        <v>0.43</v>
      </c>
      <c r="R280" s="105">
        <v>0</v>
      </c>
      <c r="S280" s="109">
        <v>22.93</v>
      </c>
      <c r="T280" s="109">
        <v>56.23</v>
      </c>
      <c r="U280" s="109">
        <v>108.1</v>
      </c>
      <c r="V280" s="43">
        <v>1.0818000000000001</v>
      </c>
      <c r="W280" s="44">
        <v>-9.4999999999999998E-3</v>
      </c>
    </row>
    <row r="281" spans="1:23" x14ac:dyDescent="0.25">
      <c r="A281" s="80">
        <v>2</v>
      </c>
      <c r="B281" s="81" t="s">
        <v>16</v>
      </c>
      <c r="C281" s="82" t="s">
        <v>319</v>
      </c>
      <c r="D281" s="51">
        <v>0</v>
      </c>
      <c r="E281" s="92">
        <v>69.349999999999994</v>
      </c>
      <c r="F281" s="92">
        <v>38.950000000000003</v>
      </c>
      <c r="G281" s="92">
        <v>71.47</v>
      </c>
      <c r="H281" s="92">
        <v>24.5</v>
      </c>
      <c r="I281" s="92">
        <f t="shared" si="10"/>
        <v>8.65</v>
      </c>
      <c r="J281" s="92">
        <f t="shared" si="11"/>
        <v>5.44</v>
      </c>
      <c r="K281" s="58">
        <v>0</v>
      </c>
      <c r="L281" s="58">
        <v>0</v>
      </c>
      <c r="M281" s="58">
        <v>1000</v>
      </c>
      <c r="N281" s="101">
        <v>1.44</v>
      </c>
      <c r="O281" s="33">
        <v>0</v>
      </c>
      <c r="P281" s="105">
        <v>3.6400000000000002E-2</v>
      </c>
      <c r="Q281" s="113">
        <v>0.42</v>
      </c>
      <c r="R281" s="105">
        <v>0</v>
      </c>
      <c r="S281" s="109">
        <v>22.93</v>
      </c>
      <c r="T281" s="109">
        <v>56.23</v>
      </c>
      <c r="U281" s="109">
        <v>108.1</v>
      </c>
      <c r="V281" s="43">
        <v>1.0818000000000001</v>
      </c>
      <c r="W281" s="44">
        <v>-9.4999999999999998E-3</v>
      </c>
    </row>
    <row r="282" spans="1:23" x14ac:dyDescent="0.25">
      <c r="A282" s="80">
        <v>2</v>
      </c>
      <c r="B282" s="81" t="s">
        <v>16</v>
      </c>
      <c r="C282" s="82" t="s">
        <v>320</v>
      </c>
      <c r="D282" s="51">
        <v>0</v>
      </c>
      <c r="E282" s="92">
        <v>69.349999999999994</v>
      </c>
      <c r="F282" s="92">
        <v>38.950000000000003</v>
      </c>
      <c r="G282" s="92">
        <v>71.36</v>
      </c>
      <c r="H282" s="92">
        <v>24.5</v>
      </c>
      <c r="I282" s="92">
        <f t="shared" si="10"/>
        <v>8.1999999999999993</v>
      </c>
      <c r="J282" s="92">
        <f t="shared" si="11"/>
        <v>5.16</v>
      </c>
      <c r="K282" s="58">
        <v>0</v>
      </c>
      <c r="L282" s="58">
        <v>0</v>
      </c>
      <c r="M282" s="58">
        <v>1000</v>
      </c>
      <c r="N282" s="101">
        <v>1.44</v>
      </c>
      <c r="O282" s="33">
        <v>0</v>
      </c>
      <c r="P282" s="105">
        <v>3.6799999999999999E-2</v>
      </c>
      <c r="Q282" s="113">
        <v>0.41</v>
      </c>
      <c r="R282" s="105">
        <v>0</v>
      </c>
      <c r="S282" s="109">
        <v>22.93</v>
      </c>
      <c r="T282" s="109">
        <v>56.23</v>
      </c>
      <c r="U282" s="109">
        <v>108.1</v>
      </c>
      <c r="V282" s="43">
        <v>1.0818000000000001</v>
      </c>
      <c r="W282" s="44">
        <v>-9.4999999999999998E-3</v>
      </c>
    </row>
    <row r="283" spans="1:23" x14ac:dyDescent="0.25">
      <c r="A283" s="80">
        <v>2</v>
      </c>
      <c r="B283" s="81" t="s">
        <v>16</v>
      </c>
      <c r="C283" s="82" t="s">
        <v>321</v>
      </c>
      <c r="D283" s="51">
        <v>0</v>
      </c>
      <c r="E283" s="92">
        <v>69.349999999999994</v>
      </c>
      <c r="F283" s="92">
        <v>38.950000000000003</v>
      </c>
      <c r="G283" s="92">
        <v>71.27</v>
      </c>
      <c r="H283" s="92">
        <v>24.5</v>
      </c>
      <c r="I283" s="92">
        <f t="shared" si="10"/>
        <v>7.84</v>
      </c>
      <c r="J283" s="92">
        <f t="shared" si="11"/>
        <v>4.93</v>
      </c>
      <c r="K283" s="58">
        <v>0</v>
      </c>
      <c r="L283" s="58">
        <v>0</v>
      </c>
      <c r="M283" s="58">
        <v>1000</v>
      </c>
      <c r="N283" s="101">
        <v>1.44</v>
      </c>
      <c r="O283" s="33">
        <v>0</v>
      </c>
      <c r="P283" s="105">
        <v>3.3799999999999997E-2</v>
      </c>
      <c r="Q283" s="113">
        <v>0.41</v>
      </c>
      <c r="R283" s="105">
        <v>0</v>
      </c>
      <c r="S283" s="109">
        <v>22.93</v>
      </c>
      <c r="T283" s="109">
        <v>56.23</v>
      </c>
      <c r="U283" s="109">
        <v>108.1</v>
      </c>
      <c r="V283" s="43">
        <v>1.0818000000000001</v>
      </c>
      <c r="W283" s="44">
        <v>-9.4999999999999998E-3</v>
      </c>
    </row>
    <row r="284" spans="1:23" x14ac:dyDescent="0.25">
      <c r="A284" s="80">
        <v>2</v>
      </c>
      <c r="B284" s="81" t="s">
        <v>16</v>
      </c>
      <c r="C284" s="82" t="s">
        <v>322</v>
      </c>
      <c r="D284" s="51">
        <v>0</v>
      </c>
      <c r="E284" s="92">
        <v>69.349999999999994</v>
      </c>
      <c r="F284" s="92">
        <v>38.950000000000003</v>
      </c>
      <c r="G284" s="92">
        <v>71.17</v>
      </c>
      <c r="H284" s="92">
        <v>24.5</v>
      </c>
      <c r="I284" s="92">
        <f t="shared" si="10"/>
        <v>7.43</v>
      </c>
      <c r="J284" s="92">
        <f t="shared" si="11"/>
        <v>4.67</v>
      </c>
      <c r="K284" s="58">
        <v>0</v>
      </c>
      <c r="L284" s="58">
        <v>0</v>
      </c>
      <c r="M284" s="58">
        <v>1000</v>
      </c>
      <c r="N284" s="101">
        <v>1.44</v>
      </c>
      <c r="O284" s="33">
        <v>0</v>
      </c>
      <c r="P284" s="105">
        <v>3.3799999999999997E-2</v>
      </c>
      <c r="Q284" s="113">
        <v>0.4</v>
      </c>
      <c r="R284" s="105">
        <v>0</v>
      </c>
      <c r="S284" s="109">
        <v>22.93</v>
      </c>
      <c r="T284" s="109">
        <v>56.23</v>
      </c>
      <c r="U284" s="109">
        <v>108.1</v>
      </c>
      <c r="V284" s="43">
        <v>1.0818000000000001</v>
      </c>
      <c r="W284" s="44">
        <v>-9.4999999999999998E-3</v>
      </c>
    </row>
    <row r="285" spans="1:23" x14ac:dyDescent="0.25">
      <c r="A285" s="80">
        <v>2</v>
      </c>
      <c r="B285" s="81" t="s">
        <v>16</v>
      </c>
      <c r="C285" s="82" t="s">
        <v>323</v>
      </c>
      <c r="D285" s="51">
        <v>0</v>
      </c>
      <c r="E285" s="92">
        <v>69.349999999999994</v>
      </c>
      <c r="F285" s="92">
        <v>38.950000000000003</v>
      </c>
      <c r="G285" s="92">
        <v>71.06</v>
      </c>
      <c r="H285" s="92">
        <v>24.5</v>
      </c>
      <c r="I285" s="92">
        <f t="shared" si="10"/>
        <v>6.98</v>
      </c>
      <c r="J285" s="92">
        <f t="shared" si="11"/>
        <v>4.3899999999999997</v>
      </c>
      <c r="K285" s="58">
        <v>0</v>
      </c>
      <c r="L285" s="58">
        <v>0</v>
      </c>
      <c r="M285" s="58">
        <v>1000</v>
      </c>
      <c r="N285" s="101">
        <v>1.44</v>
      </c>
      <c r="O285" s="33">
        <v>0</v>
      </c>
      <c r="P285" s="105">
        <v>3.2099999999999997E-2</v>
      </c>
      <c r="Q285" s="113">
        <v>0.39</v>
      </c>
      <c r="R285" s="105">
        <v>0</v>
      </c>
      <c r="S285" s="109">
        <v>22.93</v>
      </c>
      <c r="T285" s="109">
        <v>56.23</v>
      </c>
      <c r="U285" s="109">
        <v>108.1</v>
      </c>
      <c r="V285" s="43">
        <v>1.0818000000000001</v>
      </c>
      <c r="W285" s="44">
        <v>-9.4999999999999998E-3</v>
      </c>
    </row>
    <row r="286" spans="1:23" x14ac:dyDescent="0.25">
      <c r="A286" s="80">
        <v>2</v>
      </c>
      <c r="B286" s="81" t="s">
        <v>16</v>
      </c>
      <c r="C286" s="82" t="s">
        <v>324</v>
      </c>
      <c r="D286" s="51">
        <v>0</v>
      </c>
      <c r="E286" s="92">
        <v>69.349999999999994</v>
      </c>
      <c r="F286" s="92">
        <v>38.950000000000003</v>
      </c>
      <c r="G286" s="92">
        <v>70.98</v>
      </c>
      <c r="H286" s="92">
        <v>24.5</v>
      </c>
      <c r="I286" s="92">
        <f t="shared" si="10"/>
        <v>6.65</v>
      </c>
      <c r="J286" s="92">
        <f t="shared" si="11"/>
        <v>4.18</v>
      </c>
      <c r="K286" s="58">
        <v>0</v>
      </c>
      <c r="L286" s="58">
        <v>0</v>
      </c>
      <c r="M286" s="58">
        <v>1000</v>
      </c>
      <c r="N286" s="101">
        <v>1.44</v>
      </c>
      <c r="O286" s="33">
        <v>0</v>
      </c>
      <c r="P286" s="105">
        <v>3.1699999999999999E-2</v>
      </c>
      <c r="Q286" s="113">
        <v>0.39</v>
      </c>
      <c r="R286" s="105">
        <v>0</v>
      </c>
      <c r="S286" s="109">
        <v>22.93</v>
      </c>
      <c r="T286" s="109">
        <v>56.23</v>
      </c>
      <c r="U286" s="109">
        <v>108.1</v>
      </c>
      <c r="V286" s="43">
        <v>1.0818000000000001</v>
      </c>
      <c r="W286" s="44">
        <v>-9.4999999999999998E-3</v>
      </c>
    </row>
    <row r="287" spans="1:23" x14ac:dyDescent="0.25">
      <c r="A287" s="80">
        <v>2</v>
      </c>
      <c r="B287" s="81" t="s">
        <v>16</v>
      </c>
      <c r="C287" s="82" t="s">
        <v>325</v>
      </c>
      <c r="D287" s="51">
        <v>0</v>
      </c>
      <c r="E287" s="92">
        <v>69.349999999999994</v>
      </c>
      <c r="F287" s="92">
        <v>38.950000000000003</v>
      </c>
      <c r="G287" s="92">
        <v>70.88</v>
      </c>
      <c r="H287" s="92">
        <v>24.5</v>
      </c>
      <c r="I287" s="92">
        <f t="shared" si="10"/>
        <v>6.24</v>
      </c>
      <c r="J287" s="92">
        <f t="shared" si="11"/>
        <v>3.93</v>
      </c>
      <c r="K287" s="58">
        <v>0</v>
      </c>
      <c r="L287" s="58">
        <v>0</v>
      </c>
      <c r="M287" s="58">
        <v>1000</v>
      </c>
      <c r="N287" s="101">
        <v>1.44</v>
      </c>
      <c r="O287" s="33">
        <v>0</v>
      </c>
      <c r="P287" s="105">
        <v>3.0300000000000001E-2</v>
      </c>
      <c r="Q287" s="113">
        <v>0.38</v>
      </c>
      <c r="R287" s="105">
        <v>0</v>
      </c>
      <c r="S287" s="109">
        <v>22.93</v>
      </c>
      <c r="T287" s="109">
        <v>56.23</v>
      </c>
      <c r="U287" s="109">
        <v>108.1</v>
      </c>
      <c r="V287" s="43">
        <v>1.0818000000000001</v>
      </c>
      <c r="W287" s="44">
        <v>-9.4999999999999998E-3</v>
      </c>
    </row>
    <row r="288" spans="1:23" x14ac:dyDescent="0.25">
      <c r="A288" s="80">
        <v>2</v>
      </c>
      <c r="B288" s="81" t="s">
        <v>16</v>
      </c>
      <c r="C288" s="82" t="s">
        <v>326</v>
      </c>
      <c r="D288" s="51">
        <v>0</v>
      </c>
      <c r="E288" s="92">
        <v>69.349999999999994</v>
      </c>
      <c r="F288" s="92">
        <v>38.950000000000003</v>
      </c>
      <c r="G288" s="92">
        <v>70.78</v>
      </c>
      <c r="H288" s="92">
        <v>24.5</v>
      </c>
      <c r="I288" s="92">
        <f t="shared" si="10"/>
        <v>5.84</v>
      </c>
      <c r="J288" s="92">
        <f t="shared" si="11"/>
        <v>3.67</v>
      </c>
      <c r="K288" s="58">
        <v>0</v>
      </c>
      <c r="L288" s="58">
        <v>0</v>
      </c>
      <c r="M288" s="58">
        <v>1000</v>
      </c>
      <c r="N288" s="101">
        <v>1.44</v>
      </c>
      <c r="O288" s="33">
        <v>0</v>
      </c>
      <c r="P288" s="105">
        <v>2.92E-2</v>
      </c>
      <c r="Q288" s="113">
        <v>0.37</v>
      </c>
      <c r="R288" s="105">
        <v>0</v>
      </c>
      <c r="S288" s="109">
        <v>22.93</v>
      </c>
      <c r="T288" s="109">
        <v>56.23</v>
      </c>
      <c r="U288" s="109">
        <v>108.1</v>
      </c>
      <c r="V288" s="43">
        <v>1.0818000000000001</v>
      </c>
      <c r="W288" s="44">
        <v>-9.4999999999999998E-3</v>
      </c>
    </row>
    <row r="289" spans="1:23" x14ac:dyDescent="0.25">
      <c r="A289" s="80">
        <v>2</v>
      </c>
      <c r="B289" s="81" t="s">
        <v>16</v>
      </c>
      <c r="C289" s="82" t="s">
        <v>327</v>
      </c>
      <c r="D289" s="51">
        <v>0</v>
      </c>
      <c r="E289" s="92">
        <v>69.349999999999994</v>
      </c>
      <c r="F289" s="92">
        <v>38.950000000000003</v>
      </c>
      <c r="G289" s="92">
        <v>70.680000000000007</v>
      </c>
      <c r="H289" s="92">
        <v>24.5</v>
      </c>
      <c r="I289" s="92">
        <f t="shared" si="10"/>
        <v>5.43</v>
      </c>
      <c r="J289" s="92">
        <f t="shared" si="11"/>
        <v>3.41</v>
      </c>
      <c r="K289" s="58">
        <v>0</v>
      </c>
      <c r="L289" s="58">
        <v>0</v>
      </c>
      <c r="M289" s="58">
        <v>1000</v>
      </c>
      <c r="N289" s="101">
        <v>1.44</v>
      </c>
      <c r="O289" s="33">
        <v>0</v>
      </c>
      <c r="P289" s="105">
        <v>2.8400000000000002E-2</v>
      </c>
      <c r="Q289" s="113">
        <v>0.36</v>
      </c>
      <c r="R289" s="105">
        <v>0</v>
      </c>
      <c r="S289" s="109">
        <v>22.93</v>
      </c>
      <c r="T289" s="109">
        <v>56.23</v>
      </c>
      <c r="U289" s="109">
        <v>108.1</v>
      </c>
      <c r="V289" s="43">
        <v>1.0818000000000001</v>
      </c>
      <c r="W289" s="44">
        <v>-9.4999999999999998E-3</v>
      </c>
    </row>
    <row r="290" spans="1:23" x14ac:dyDescent="0.25">
      <c r="A290" s="80">
        <v>2</v>
      </c>
      <c r="B290" s="81" t="s">
        <v>16</v>
      </c>
      <c r="C290" s="82" t="s">
        <v>328</v>
      </c>
      <c r="D290" s="51">
        <v>0</v>
      </c>
      <c r="E290" s="92">
        <v>69.349999999999994</v>
      </c>
      <c r="F290" s="92">
        <v>38.950000000000003</v>
      </c>
      <c r="G290" s="92">
        <v>70.58</v>
      </c>
      <c r="H290" s="92">
        <v>24.5</v>
      </c>
      <c r="I290" s="92">
        <f t="shared" si="10"/>
        <v>5.0199999999999996</v>
      </c>
      <c r="J290" s="92">
        <f t="shared" si="11"/>
        <v>3.16</v>
      </c>
      <c r="K290" s="58">
        <v>0</v>
      </c>
      <c r="L290" s="58">
        <v>0</v>
      </c>
      <c r="M290" s="58">
        <v>1000</v>
      </c>
      <c r="N290" s="101">
        <v>1.44</v>
      </c>
      <c r="O290" s="33">
        <v>0</v>
      </c>
      <c r="P290" s="105">
        <v>2.63E-2</v>
      </c>
      <c r="Q290" s="113">
        <v>0.36</v>
      </c>
      <c r="R290" s="105">
        <v>0</v>
      </c>
      <c r="S290" s="109">
        <v>22.93</v>
      </c>
      <c r="T290" s="109">
        <v>56.23</v>
      </c>
      <c r="U290" s="109">
        <v>108.1</v>
      </c>
      <c r="V290" s="43">
        <v>1.0818000000000001</v>
      </c>
      <c r="W290" s="44">
        <v>-9.4999999999999998E-3</v>
      </c>
    </row>
    <row r="291" spans="1:23" x14ac:dyDescent="0.25">
      <c r="A291" s="80">
        <v>2</v>
      </c>
      <c r="B291" s="81" t="s">
        <v>16</v>
      </c>
      <c r="C291" s="82" t="s">
        <v>329</v>
      </c>
      <c r="D291" s="51">
        <v>0</v>
      </c>
      <c r="E291" s="92">
        <v>69.349999999999994</v>
      </c>
      <c r="F291" s="92">
        <v>38.950000000000003</v>
      </c>
      <c r="G291" s="92">
        <v>70.489999999999995</v>
      </c>
      <c r="H291" s="92">
        <v>24.5</v>
      </c>
      <c r="I291" s="92">
        <f t="shared" si="10"/>
        <v>4.6500000000000004</v>
      </c>
      <c r="J291" s="92">
        <f t="shared" si="11"/>
        <v>2.93</v>
      </c>
      <c r="K291" s="58">
        <v>0</v>
      </c>
      <c r="L291" s="58">
        <v>0</v>
      </c>
      <c r="M291" s="58">
        <v>1000</v>
      </c>
      <c r="N291" s="101">
        <v>1.44</v>
      </c>
      <c r="O291" s="33">
        <v>0</v>
      </c>
      <c r="P291" s="105">
        <v>2.5499999999999998E-2</v>
      </c>
      <c r="Q291" s="113">
        <v>0.35</v>
      </c>
      <c r="R291" s="105">
        <v>0</v>
      </c>
      <c r="S291" s="109">
        <v>22.93</v>
      </c>
      <c r="T291" s="109">
        <v>56.23</v>
      </c>
      <c r="U291" s="109">
        <v>108.1</v>
      </c>
      <c r="V291" s="43">
        <v>1.0818000000000001</v>
      </c>
      <c r="W291" s="44">
        <v>-9.4999999999999998E-3</v>
      </c>
    </row>
    <row r="292" spans="1:23" x14ac:dyDescent="0.25">
      <c r="A292" s="80">
        <v>2</v>
      </c>
      <c r="B292" s="81" t="s">
        <v>16</v>
      </c>
      <c r="C292" s="82" t="s">
        <v>330</v>
      </c>
      <c r="D292" s="51">
        <v>0</v>
      </c>
      <c r="E292" s="92">
        <v>69.349999999999994</v>
      </c>
      <c r="F292" s="92">
        <v>38.950000000000003</v>
      </c>
      <c r="G292" s="92">
        <v>70.39</v>
      </c>
      <c r="H292" s="92">
        <v>24.5</v>
      </c>
      <c r="I292" s="92">
        <f t="shared" si="10"/>
        <v>4.24</v>
      </c>
      <c r="J292" s="92">
        <f t="shared" si="11"/>
        <v>2.67</v>
      </c>
      <c r="K292" s="58">
        <v>0</v>
      </c>
      <c r="L292" s="58">
        <v>0</v>
      </c>
      <c r="M292" s="58">
        <v>1000</v>
      </c>
      <c r="N292" s="101">
        <v>1.44</v>
      </c>
      <c r="O292" s="33">
        <v>0</v>
      </c>
      <c r="P292" s="105">
        <v>2.4400000000000002E-2</v>
      </c>
      <c r="Q292" s="113">
        <v>0.34</v>
      </c>
      <c r="R292" s="105">
        <v>0</v>
      </c>
      <c r="S292" s="109">
        <v>22.93</v>
      </c>
      <c r="T292" s="109">
        <v>56.23</v>
      </c>
      <c r="U292" s="109">
        <v>108.1</v>
      </c>
      <c r="V292" s="43">
        <v>1.0818000000000001</v>
      </c>
      <c r="W292" s="44">
        <v>-9.4999999999999998E-3</v>
      </c>
    </row>
    <row r="293" spans="1:23" x14ac:dyDescent="0.25">
      <c r="A293" s="80">
        <v>2</v>
      </c>
      <c r="B293" s="81" t="s">
        <v>16</v>
      </c>
      <c r="C293" s="82" t="s">
        <v>331</v>
      </c>
      <c r="D293" s="51">
        <v>0</v>
      </c>
      <c r="E293" s="92">
        <v>69.349999999999994</v>
      </c>
      <c r="F293" s="92">
        <v>38.950000000000003</v>
      </c>
      <c r="G293" s="92">
        <v>70.3</v>
      </c>
      <c r="H293" s="92">
        <v>24.5</v>
      </c>
      <c r="I293" s="92">
        <f t="shared" si="10"/>
        <v>3.88</v>
      </c>
      <c r="J293" s="92">
        <f t="shared" si="11"/>
        <v>2.44</v>
      </c>
      <c r="K293" s="58">
        <v>0</v>
      </c>
      <c r="L293" s="58">
        <v>0</v>
      </c>
      <c r="M293" s="58">
        <v>1000</v>
      </c>
      <c r="N293" s="101">
        <v>1.44</v>
      </c>
      <c r="O293" s="33">
        <v>0</v>
      </c>
      <c r="P293" s="105">
        <v>2.2800000000000001E-2</v>
      </c>
      <c r="Q293" s="113">
        <v>0.33</v>
      </c>
      <c r="R293" s="105">
        <v>0</v>
      </c>
      <c r="S293" s="109">
        <v>22.93</v>
      </c>
      <c r="T293" s="109">
        <v>56.23</v>
      </c>
      <c r="U293" s="109">
        <v>108.1</v>
      </c>
      <c r="V293" s="43">
        <v>1.0818000000000001</v>
      </c>
      <c r="W293" s="44">
        <v>-9.4999999999999998E-3</v>
      </c>
    </row>
    <row r="294" spans="1:23" x14ac:dyDescent="0.25">
      <c r="A294" s="80">
        <v>2</v>
      </c>
      <c r="B294" s="81" t="s">
        <v>16</v>
      </c>
      <c r="C294" s="82" t="s">
        <v>332</v>
      </c>
      <c r="D294" s="51">
        <v>0</v>
      </c>
      <c r="E294" s="92">
        <v>69.349999999999994</v>
      </c>
      <c r="F294" s="92">
        <v>38.950000000000003</v>
      </c>
      <c r="G294" s="92">
        <v>70.22</v>
      </c>
      <c r="H294" s="92">
        <v>24.5</v>
      </c>
      <c r="I294" s="92">
        <f t="shared" si="10"/>
        <v>3.55</v>
      </c>
      <c r="J294" s="92">
        <f t="shared" si="11"/>
        <v>2.23</v>
      </c>
      <c r="K294" s="58">
        <v>0</v>
      </c>
      <c r="L294" s="58">
        <v>0</v>
      </c>
      <c r="M294" s="58">
        <v>1000</v>
      </c>
      <c r="N294" s="101">
        <v>1.44</v>
      </c>
      <c r="O294" s="33">
        <v>0</v>
      </c>
      <c r="P294" s="105">
        <v>2.2499999999999999E-2</v>
      </c>
      <c r="Q294" s="113">
        <v>0.31</v>
      </c>
      <c r="R294" s="105">
        <v>0</v>
      </c>
      <c r="S294" s="109">
        <v>22.93</v>
      </c>
      <c r="T294" s="109">
        <v>56.23</v>
      </c>
      <c r="U294" s="109">
        <v>108.1</v>
      </c>
      <c r="V294" s="43">
        <v>1.0818000000000001</v>
      </c>
      <c r="W294" s="44">
        <v>-9.4999999999999998E-3</v>
      </c>
    </row>
    <row r="295" spans="1:23" x14ac:dyDescent="0.25">
      <c r="A295" s="80">
        <v>2</v>
      </c>
      <c r="B295" s="81" t="s">
        <v>16</v>
      </c>
      <c r="C295" s="82" t="s">
        <v>333</v>
      </c>
      <c r="D295" s="51">
        <v>0</v>
      </c>
      <c r="E295" s="92">
        <v>69.349999999999994</v>
      </c>
      <c r="F295" s="92">
        <v>38.950000000000003</v>
      </c>
      <c r="G295" s="92">
        <v>70.12</v>
      </c>
      <c r="H295" s="92">
        <v>24.5</v>
      </c>
      <c r="I295" s="92">
        <f t="shared" si="10"/>
        <v>3.14</v>
      </c>
      <c r="J295" s="92">
        <f t="shared" si="11"/>
        <v>1.98</v>
      </c>
      <c r="K295" s="58">
        <v>0</v>
      </c>
      <c r="L295" s="58">
        <v>0</v>
      </c>
      <c r="M295" s="58">
        <v>1000</v>
      </c>
      <c r="N295" s="101">
        <v>1.44</v>
      </c>
      <c r="O295" s="33">
        <v>0</v>
      </c>
      <c r="P295" s="105">
        <v>2.0500000000000001E-2</v>
      </c>
      <c r="Q295" s="113">
        <v>0.3</v>
      </c>
      <c r="R295" s="105">
        <v>0</v>
      </c>
      <c r="S295" s="109">
        <v>22.93</v>
      </c>
      <c r="T295" s="109">
        <v>56.23</v>
      </c>
      <c r="U295" s="109">
        <v>108.1</v>
      </c>
      <c r="V295" s="43">
        <v>1.0818000000000001</v>
      </c>
      <c r="W295" s="44">
        <v>-9.4999999999999998E-3</v>
      </c>
    </row>
    <row r="296" spans="1:23" x14ac:dyDescent="0.25">
      <c r="A296" s="80">
        <v>2</v>
      </c>
      <c r="B296" s="81" t="s">
        <v>16</v>
      </c>
      <c r="C296" s="82" t="s">
        <v>334</v>
      </c>
      <c r="D296" s="51">
        <v>0</v>
      </c>
      <c r="E296" s="92">
        <v>69.349999999999994</v>
      </c>
      <c r="F296" s="92">
        <v>38.950000000000003</v>
      </c>
      <c r="G296" s="92">
        <v>70.03</v>
      </c>
      <c r="H296" s="92">
        <v>24.5</v>
      </c>
      <c r="I296" s="92">
        <f t="shared" si="10"/>
        <v>2.78</v>
      </c>
      <c r="J296" s="92">
        <f t="shared" si="11"/>
        <v>1.75</v>
      </c>
      <c r="K296" s="58">
        <v>0</v>
      </c>
      <c r="L296" s="58">
        <v>0</v>
      </c>
      <c r="M296" s="58">
        <v>1000</v>
      </c>
      <c r="N296" s="101">
        <v>1.44</v>
      </c>
      <c r="O296" s="33">
        <v>0</v>
      </c>
      <c r="P296" s="105">
        <v>1.9300000000000001E-2</v>
      </c>
      <c r="Q296" s="113">
        <v>0.28000000000000003</v>
      </c>
      <c r="R296" s="105">
        <v>0</v>
      </c>
      <c r="S296" s="109">
        <v>22.93</v>
      </c>
      <c r="T296" s="109">
        <v>56.23</v>
      </c>
      <c r="U296" s="109">
        <v>108.1</v>
      </c>
      <c r="V296" s="43">
        <v>1.0818000000000001</v>
      </c>
      <c r="W296" s="44">
        <v>-9.4999999999999998E-3</v>
      </c>
    </row>
    <row r="297" spans="1:23" x14ac:dyDescent="0.25">
      <c r="A297" s="80">
        <v>2</v>
      </c>
      <c r="B297" s="81" t="s">
        <v>16</v>
      </c>
      <c r="C297" s="82" t="s">
        <v>335</v>
      </c>
      <c r="D297" s="51">
        <v>0</v>
      </c>
      <c r="E297" s="92">
        <v>69.349999999999994</v>
      </c>
      <c r="F297" s="92">
        <v>38.950000000000003</v>
      </c>
      <c r="G297" s="92">
        <v>69.94</v>
      </c>
      <c r="H297" s="92">
        <v>24.5</v>
      </c>
      <c r="I297" s="92">
        <f t="shared" si="10"/>
        <v>2.41</v>
      </c>
      <c r="J297" s="92">
        <f t="shared" si="11"/>
        <v>1.51</v>
      </c>
      <c r="K297" s="58">
        <v>0</v>
      </c>
      <c r="L297" s="58">
        <v>0</v>
      </c>
      <c r="M297" s="58">
        <v>1000</v>
      </c>
      <c r="N297" s="101">
        <v>1.44</v>
      </c>
      <c r="O297" s="33">
        <v>0</v>
      </c>
      <c r="P297" s="105">
        <v>1.83E-2</v>
      </c>
      <c r="Q297" s="113">
        <v>0.27</v>
      </c>
      <c r="R297" s="105">
        <v>0</v>
      </c>
      <c r="S297" s="109">
        <v>22.93</v>
      </c>
      <c r="T297" s="109">
        <v>56.23</v>
      </c>
      <c r="U297" s="109">
        <v>108.1</v>
      </c>
      <c r="V297" s="43">
        <v>1.0818000000000001</v>
      </c>
      <c r="W297" s="44">
        <v>-9.4999999999999998E-3</v>
      </c>
    </row>
    <row r="298" spans="1:23" x14ac:dyDescent="0.25">
      <c r="A298" s="80">
        <v>2</v>
      </c>
      <c r="B298" s="81" t="s">
        <v>16</v>
      </c>
      <c r="C298" s="82" t="s">
        <v>336</v>
      </c>
      <c r="D298" s="51">
        <v>0</v>
      </c>
      <c r="E298" s="92">
        <v>69.349999999999994</v>
      </c>
      <c r="F298" s="92">
        <v>38.950000000000003</v>
      </c>
      <c r="G298" s="92">
        <v>69.86</v>
      </c>
      <c r="H298" s="92">
        <v>24.5</v>
      </c>
      <c r="I298" s="92">
        <f t="shared" si="10"/>
        <v>2.08</v>
      </c>
      <c r="J298" s="92">
        <f t="shared" si="11"/>
        <v>1.31</v>
      </c>
      <c r="K298" s="58">
        <v>0</v>
      </c>
      <c r="L298" s="58">
        <v>0</v>
      </c>
      <c r="M298" s="58">
        <v>1000</v>
      </c>
      <c r="N298" s="101">
        <v>1.44</v>
      </c>
      <c r="O298" s="33">
        <v>0</v>
      </c>
      <c r="P298" s="105">
        <v>1.67E-2</v>
      </c>
      <c r="Q298" s="113">
        <v>0.25</v>
      </c>
      <c r="R298" s="105">
        <v>0</v>
      </c>
      <c r="S298" s="109">
        <v>22.93</v>
      </c>
      <c r="T298" s="109">
        <v>56.23</v>
      </c>
      <c r="U298" s="109">
        <v>108.1</v>
      </c>
      <c r="V298" s="43">
        <v>1.0818000000000001</v>
      </c>
      <c r="W298" s="44">
        <v>-9.4999999999999998E-3</v>
      </c>
    </row>
    <row r="299" spans="1:23" x14ac:dyDescent="0.25">
      <c r="A299" s="80">
        <v>2</v>
      </c>
      <c r="B299" s="81" t="s">
        <v>16</v>
      </c>
      <c r="C299" s="82" t="s">
        <v>337</v>
      </c>
      <c r="D299" s="51">
        <v>0</v>
      </c>
      <c r="E299" s="92">
        <v>69.349999999999994</v>
      </c>
      <c r="F299" s="92">
        <v>38.950000000000003</v>
      </c>
      <c r="G299" s="92">
        <v>69.77</v>
      </c>
      <c r="H299" s="92">
        <v>24.5</v>
      </c>
      <c r="I299" s="92">
        <f t="shared" si="10"/>
        <v>1.71</v>
      </c>
      <c r="J299" s="92">
        <f t="shared" si="11"/>
        <v>1.08</v>
      </c>
      <c r="K299" s="58">
        <v>0</v>
      </c>
      <c r="L299" s="58">
        <v>0</v>
      </c>
      <c r="M299" s="58">
        <v>1000</v>
      </c>
      <c r="N299" s="101">
        <v>1.44</v>
      </c>
      <c r="O299" s="33">
        <v>0</v>
      </c>
      <c r="P299" s="105">
        <v>1.54E-2</v>
      </c>
      <c r="Q299" s="113">
        <v>0.23</v>
      </c>
      <c r="R299" s="105">
        <v>0</v>
      </c>
      <c r="S299" s="109">
        <v>22.93</v>
      </c>
      <c r="T299" s="109">
        <v>56.23</v>
      </c>
      <c r="U299" s="109">
        <v>108.1</v>
      </c>
      <c r="V299" s="43">
        <v>1.0818000000000001</v>
      </c>
      <c r="W299" s="44">
        <v>-9.4999999999999998E-3</v>
      </c>
    </row>
    <row r="300" spans="1:23" x14ac:dyDescent="0.25">
      <c r="A300" s="80">
        <v>2</v>
      </c>
      <c r="B300" s="81" t="s">
        <v>16</v>
      </c>
      <c r="C300" s="82" t="s">
        <v>338</v>
      </c>
      <c r="D300" s="51">
        <v>0</v>
      </c>
      <c r="E300" s="92">
        <v>69.349999999999994</v>
      </c>
      <c r="F300" s="92">
        <v>38.950000000000003</v>
      </c>
      <c r="G300" s="92">
        <v>69.69</v>
      </c>
      <c r="H300" s="92">
        <v>24.5</v>
      </c>
      <c r="I300" s="92">
        <f t="shared" si="10"/>
        <v>1.39</v>
      </c>
      <c r="J300" s="92">
        <f t="shared" si="11"/>
        <v>0.87</v>
      </c>
      <c r="K300" s="58">
        <v>0</v>
      </c>
      <c r="L300" s="58">
        <v>0</v>
      </c>
      <c r="M300" s="58">
        <v>1000</v>
      </c>
      <c r="N300" s="101">
        <v>1.44</v>
      </c>
      <c r="O300" s="33">
        <v>0</v>
      </c>
      <c r="P300" s="105">
        <v>1.3599999999999999E-2</v>
      </c>
      <c r="Q300" s="113">
        <v>0.2</v>
      </c>
      <c r="R300" s="105">
        <v>0</v>
      </c>
      <c r="S300" s="109">
        <v>22.93</v>
      </c>
      <c r="T300" s="109">
        <v>56.23</v>
      </c>
      <c r="U300" s="109">
        <v>108.1</v>
      </c>
      <c r="V300" s="43">
        <v>1.0818000000000001</v>
      </c>
      <c r="W300" s="44">
        <v>-9.4999999999999998E-3</v>
      </c>
    </row>
    <row r="301" spans="1:23" x14ac:dyDescent="0.25">
      <c r="A301" s="80">
        <v>2</v>
      </c>
      <c r="B301" s="81" t="s">
        <v>16</v>
      </c>
      <c r="C301" s="82" t="s">
        <v>339</v>
      </c>
      <c r="D301" s="51">
        <v>0</v>
      </c>
      <c r="E301" s="92">
        <v>69.349999999999994</v>
      </c>
      <c r="F301" s="92">
        <v>38.950000000000003</v>
      </c>
      <c r="G301" s="92">
        <v>69.61</v>
      </c>
      <c r="H301" s="92">
        <v>24.5</v>
      </c>
      <c r="I301" s="92">
        <f t="shared" si="10"/>
        <v>1.06</v>
      </c>
      <c r="J301" s="92">
        <f t="shared" si="11"/>
        <v>0.67</v>
      </c>
      <c r="K301" s="58">
        <v>0</v>
      </c>
      <c r="L301" s="58">
        <v>0</v>
      </c>
      <c r="M301" s="58">
        <v>1000</v>
      </c>
      <c r="N301" s="101">
        <v>1.44</v>
      </c>
      <c r="O301" s="33">
        <v>0</v>
      </c>
      <c r="P301" s="105">
        <v>1.24E-2</v>
      </c>
      <c r="Q301" s="113">
        <v>0.18</v>
      </c>
      <c r="R301" s="105">
        <v>0</v>
      </c>
      <c r="S301" s="109">
        <v>22.93</v>
      </c>
      <c r="T301" s="109">
        <v>56.23</v>
      </c>
      <c r="U301" s="109">
        <v>108.1</v>
      </c>
      <c r="V301" s="43">
        <v>1.0818000000000001</v>
      </c>
      <c r="W301" s="44">
        <v>-9.4999999999999998E-3</v>
      </c>
    </row>
    <row r="302" spans="1:23" x14ac:dyDescent="0.25">
      <c r="A302" s="80">
        <v>2</v>
      </c>
      <c r="B302" s="81" t="s">
        <v>16</v>
      </c>
      <c r="C302" s="82" t="s">
        <v>340</v>
      </c>
      <c r="D302" s="51">
        <v>0</v>
      </c>
      <c r="E302" s="92">
        <v>69.349999999999994</v>
      </c>
      <c r="F302" s="92">
        <v>38.950000000000003</v>
      </c>
      <c r="G302" s="92">
        <v>69.540000000000006</v>
      </c>
      <c r="H302" s="92">
        <v>24.5</v>
      </c>
      <c r="I302" s="92">
        <f t="shared" si="10"/>
        <v>0.78</v>
      </c>
      <c r="J302" s="92">
        <f t="shared" si="11"/>
        <v>0.49</v>
      </c>
      <c r="K302" s="58">
        <v>0</v>
      </c>
      <c r="L302" s="58">
        <v>0</v>
      </c>
      <c r="M302" s="58">
        <v>1000</v>
      </c>
      <c r="N302" s="101">
        <v>1.44</v>
      </c>
      <c r="O302" s="33">
        <v>0</v>
      </c>
      <c r="P302" s="105">
        <v>0.01</v>
      </c>
      <c r="Q302" s="113">
        <v>0.14000000000000001</v>
      </c>
      <c r="R302" s="105">
        <v>0</v>
      </c>
      <c r="S302" s="109">
        <v>22.93</v>
      </c>
      <c r="T302" s="109">
        <v>56.23</v>
      </c>
      <c r="U302" s="109">
        <v>108.1</v>
      </c>
      <c r="V302" s="43">
        <v>1.0818000000000001</v>
      </c>
      <c r="W302" s="44">
        <v>-9.4999999999999998E-3</v>
      </c>
    </row>
    <row r="303" spans="1:23" x14ac:dyDescent="0.25">
      <c r="A303" s="80">
        <v>2</v>
      </c>
      <c r="B303" s="81" t="s">
        <v>16</v>
      </c>
      <c r="C303" s="82" t="s">
        <v>341</v>
      </c>
      <c r="D303" s="51">
        <v>0</v>
      </c>
      <c r="E303" s="92">
        <v>69.349999999999994</v>
      </c>
      <c r="F303" s="92">
        <v>38.950000000000003</v>
      </c>
      <c r="G303" s="92">
        <v>69.489999999999995</v>
      </c>
      <c r="H303" s="92">
        <v>24.5</v>
      </c>
      <c r="I303" s="92">
        <f t="shared" si="10"/>
        <v>0.56999999999999995</v>
      </c>
      <c r="J303" s="92">
        <f t="shared" si="11"/>
        <v>0.36</v>
      </c>
      <c r="K303" s="58">
        <v>0</v>
      </c>
      <c r="L303" s="58">
        <v>0</v>
      </c>
      <c r="M303" s="58">
        <v>1000</v>
      </c>
      <c r="N303" s="101">
        <v>1.44</v>
      </c>
      <c r="O303" s="33">
        <v>0</v>
      </c>
      <c r="P303" s="105">
        <v>7.4999999999999997E-3</v>
      </c>
      <c r="Q303" s="113">
        <v>7.0000000000000007E-2</v>
      </c>
      <c r="R303" s="105">
        <v>0</v>
      </c>
      <c r="S303" s="109">
        <v>22.93</v>
      </c>
      <c r="T303" s="109">
        <v>56.23</v>
      </c>
      <c r="U303" s="109">
        <v>108.1</v>
      </c>
      <c r="V303" s="43">
        <v>1.0818000000000001</v>
      </c>
      <c r="W303" s="44">
        <v>-9.4999999999999998E-3</v>
      </c>
    </row>
    <row r="304" spans="1:23" x14ac:dyDescent="0.25">
      <c r="A304" s="80">
        <v>2</v>
      </c>
      <c r="B304" s="81" t="s">
        <v>16</v>
      </c>
      <c r="C304" s="82" t="s">
        <v>342</v>
      </c>
      <c r="D304" s="51">
        <v>0</v>
      </c>
      <c r="E304" s="92">
        <v>69.349999999999994</v>
      </c>
      <c r="F304" s="92">
        <v>38.950000000000003</v>
      </c>
      <c r="G304" s="92">
        <v>69.45</v>
      </c>
      <c r="H304" s="92">
        <v>24.5</v>
      </c>
      <c r="I304" s="92">
        <f t="shared" si="10"/>
        <v>0.41</v>
      </c>
      <c r="J304" s="92">
        <f t="shared" si="11"/>
        <v>0.26</v>
      </c>
      <c r="K304" s="58">
        <v>0</v>
      </c>
      <c r="L304" s="58">
        <v>0</v>
      </c>
      <c r="M304" s="58">
        <v>1000</v>
      </c>
      <c r="N304" s="101">
        <v>1.44</v>
      </c>
      <c r="O304" s="33">
        <v>0</v>
      </c>
      <c r="P304" s="105">
        <v>6.7999999999999996E-3</v>
      </c>
      <c r="Q304" s="113">
        <v>0.02</v>
      </c>
      <c r="R304" s="105">
        <v>0</v>
      </c>
      <c r="S304" s="109">
        <v>22.93</v>
      </c>
      <c r="T304" s="109">
        <v>56.23</v>
      </c>
      <c r="U304" s="109">
        <v>108.1</v>
      </c>
      <c r="V304" s="43">
        <v>1.0818000000000001</v>
      </c>
      <c r="W304" s="44">
        <v>-9.4999999999999998E-3</v>
      </c>
    </row>
    <row r="305" spans="1:23" x14ac:dyDescent="0.25">
      <c r="A305" s="80">
        <v>2</v>
      </c>
      <c r="B305" s="81" t="s">
        <v>16</v>
      </c>
      <c r="C305" s="82" t="s">
        <v>343</v>
      </c>
      <c r="D305" s="51">
        <v>0</v>
      </c>
      <c r="E305" s="92">
        <v>69.349999999999994</v>
      </c>
      <c r="F305" s="92">
        <v>38.950000000000003</v>
      </c>
      <c r="G305" s="92">
        <v>69.42</v>
      </c>
      <c r="H305" s="92">
        <v>24.5</v>
      </c>
      <c r="I305" s="92">
        <f t="shared" si="10"/>
        <v>0.28999999999999998</v>
      </c>
      <c r="J305" s="92">
        <f t="shared" si="11"/>
        <v>0.18</v>
      </c>
      <c r="K305" s="58">
        <v>0</v>
      </c>
      <c r="L305" s="58">
        <v>0</v>
      </c>
      <c r="M305" s="58">
        <v>1000</v>
      </c>
      <c r="N305" s="101">
        <v>1.44</v>
      </c>
      <c r="O305" s="33">
        <v>0</v>
      </c>
      <c r="P305" s="105">
        <v>8.6999999999999994E-3</v>
      </c>
      <c r="Q305" s="113">
        <v>0.01</v>
      </c>
      <c r="R305" s="105">
        <v>0</v>
      </c>
      <c r="S305" s="109">
        <v>22.93</v>
      </c>
      <c r="T305" s="109">
        <v>56.23</v>
      </c>
      <c r="U305" s="109">
        <v>108.1</v>
      </c>
      <c r="V305" s="43">
        <v>1.0818000000000001</v>
      </c>
      <c r="W305" s="44">
        <v>-9.4999999999999998E-3</v>
      </c>
    </row>
    <row r="306" spans="1:23" x14ac:dyDescent="0.25">
      <c r="A306" s="80">
        <v>2</v>
      </c>
      <c r="B306" s="81" t="s">
        <v>16</v>
      </c>
      <c r="C306" s="82" t="s">
        <v>344</v>
      </c>
      <c r="D306" s="51">
        <v>0</v>
      </c>
      <c r="E306" s="92">
        <v>69.349999999999994</v>
      </c>
      <c r="F306" s="92">
        <v>38.950000000000003</v>
      </c>
      <c r="G306" s="92">
        <v>69.39</v>
      </c>
      <c r="H306" s="92">
        <v>24.5</v>
      </c>
      <c r="I306" s="92">
        <f t="shared" si="10"/>
        <v>0.16</v>
      </c>
      <c r="J306" s="92">
        <f t="shared" si="11"/>
        <v>0.1</v>
      </c>
      <c r="K306" s="58">
        <v>0</v>
      </c>
      <c r="L306" s="58">
        <v>0</v>
      </c>
      <c r="M306" s="58">
        <v>1000</v>
      </c>
      <c r="N306" s="101">
        <v>1.44</v>
      </c>
      <c r="O306" s="33">
        <v>0</v>
      </c>
      <c r="P306" s="105">
        <v>3.5999999999999999E-3</v>
      </c>
      <c r="Q306" s="113">
        <v>0</v>
      </c>
      <c r="R306" s="105">
        <v>0</v>
      </c>
      <c r="S306" s="109">
        <v>22.93</v>
      </c>
      <c r="T306" s="109">
        <v>56.23</v>
      </c>
      <c r="U306" s="109">
        <v>108.1</v>
      </c>
      <c r="V306" s="43">
        <v>1.0818000000000001</v>
      </c>
      <c r="W306" s="44">
        <v>-9.4999999999999998E-3</v>
      </c>
    </row>
    <row r="307" spans="1:23" x14ac:dyDescent="0.25">
      <c r="A307" s="80">
        <v>2</v>
      </c>
      <c r="B307" s="81" t="s">
        <v>16</v>
      </c>
      <c r="C307" s="82" t="s">
        <v>345</v>
      </c>
      <c r="D307" s="51">
        <v>0</v>
      </c>
      <c r="E307" s="92">
        <v>69.349999999999994</v>
      </c>
      <c r="F307" s="92">
        <v>38.950000000000003</v>
      </c>
      <c r="G307" s="92">
        <v>69.37</v>
      </c>
      <c r="H307" s="92">
        <v>24.5</v>
      </c>
      <c r="I307" s="92">
        <f t="shared" si="10"/>
        <v>0.08</v>
      </c>
      <c r="J307" s="92">
        <f t="shared" si="11"/>
        <v>0.05</v>
      </c>
      <c r="K307" s="58">
        <v>0</v>
      </c>
      <c r="L307" s="58">
        <v>0</v>
      </c>
      <c r="M307" s="58">
        <v>1000</v>
      </c>
      <c r="N307" s="101">
        <v>1.44</v>
      </c>
      <c r="O307" s="33">
        <v>0</v>
      </c>
      <c r="P307" s="105">
        <v>2.2800000000000001E-2</v>
      </c>
      <c r="Q307" s="113">
        <v>0</v>
      </c>
      <c r="R307" s="105">
        <v>0</v>
      </c>
      <c r="S307" s="109">
        <v>22.93</v>
      </c>
      <c r="T307" s="109">
        <v>56.23</v>
      </c>
      <c r="U307" s="109">
        <v>108.1</v>
      </c>
      <c r="V307" s="43">
        <v>1.0818000000000001</v>
      </c>
      <c r="W307" s="44">
        <v>-9.4999999999999998E-3</v>
      </c>
    </row>
    <row r="308" spans="1:23" x14ac:dyDescent="0.25">
      <c r="A308" s="80">
        <v>2</v>
      </c>
      <c r="B308" s="81" t="s">
        <v>16</v>
      </c>
      <c r="C308" s="82" t="s">
        <v>346</v>
      </c>
      <c r="D308" s="51">
        <v>0</v>
      </c>
      <c r="E308" s="92">
        <v>69.349999999999994</v>
      </c>
      <c r="F308" s="92">
        <v>38.950000000000003</v>
      </c>
      <c r="G308" s="92">
        <v>69.36</v>
      </c>
      <c r="H308" s="92">
        <v>24.5</v>
      </c>
      <c r="I308" s="92">
        <f t="shared" si="10"/>
        <v>0.04</v>
      </c>
      <c r="J308" s="92">
        <f t="shared" si="11"/>
        <v>0.03</v>
      </c>
      <c r="K308" s="58">
        <v>0</v>
      </c>
      <c r="L308" s="58">
        <v>0</v>
      </c>
      <c r="M308" s="58">
        <v>1000</v>
      </c>
      <c r="N308" s="101">
        <v>1.44</v>
      </c>
      <c r="O308" s="33">
        <v>0</v>
      </c>
      <c r="P308" s="105">
        <v>6.9900000000000004E-2</v>
      </c>
      <c r="Q308" s="113">
        <v>0</v>
      </c>
      <c r="R308" s="105">
        <v>0</v>
      </c>
      <c r="S308" s="109">
        <v>22.93</v>
      </c>
      <c r="T308" s="109">
        <v>56.23</v>
      </c>
      <c r="U308" s="109">
        <v>108.1</v>
      </c>
      <c r="V308" s="43">
        <v>1.0818000000000001</v>
      </c>
      <c r="W308" s="44">
        <v>-9.4999999999999998E-3</v>
      </c>
    </row>
    <row r="309" spans="1:23" x14ac:dyDescent="0.25">
      <c r="A309" s="83">
        <v>2</v>
      </c>
      <c r="B309" s="84" t="s">
        <v>16</v>
      </c>
      <c r="C309" s="85" t="s">
        <v>347</v>
      </c>
      <c r="D309" s="86">
        <v>0</v>
      </c>
      <c r="E309" s="94">
        <v>69.349999999999994</v>
      </c>
      <c r="F309" s="94">
        <v>38.950000000000003</v>
      </c>
      <c r="G309" s="94">
        <v>69.349999999999994</v>
      </c>
      <c r="H309" s="94">
        <v>24.5</v>
      </c>
      <c r="I309" s="94">
        <f t="shared" si="10"/>
        <v>0</v>
      </c>
      <c r="J309" s="94">
        <f t="shared" si="11"/>
        <v>0</v>
      </c>
      <c r="K309" s="61">
        <v>0</v>
      </c>
      <c r="L309" s="61">
        <v>0</v>
      </c>
      <c r="M309" s="61">
        <v>1000</v>
      </c>
      <c r="N309" s="102">
        <v>1.44</v>
      </c>
      <c r="O309" s="34">
        <v>0</v>
      </c>
      <c r="P309" s="106">
        <v>0</v>
      </c>
      <c r="Q309" s="114">
        <v>0</v>
      </c>
      <c r="R309" s="106">
        <v>0</v>
      </c>
      <c r="S309" s="110">
        <v>22.93</v>
      </c>
      <c r="T309" s="110">
        <v>56.23</v>
      </c>
      <c r="U309" s="110">
        <v>108.1</v>
      </c>
      <c r="V309" s="45">
        <v>1.0818000000000001</v>
      </c>
      <c r="W309" s="46">
        <v>-9.4999999999999998E-3</v>
      </c>
    </row>
    <row r="310" spans="1:23" x14ac:dyDescent="0.25">
      <c r="A310" s="80">
        <v>3</v>
      </c>
      <c r="B310" s="81" t="s">
        <v>17</v>
      </c>
      <c r="C310" s="82" t="s">
        <v>348</v>
      </c>
      <c r="D310" s="51">
        <v>0</v>
      </c>
      <c r="E310" s="92">
        <v>71.400000000000006</v>
      </c>
      <c r="F310" s="92">
        <v>41.36</v>
      </c>
      <c r="G310" s="92">
        <v>80.349999999999994</v>
      </c>
      <c r="H310" s="92">
        <v>24.5</v>
      </c>
      <c r="I310" s="92">
        <f>100*(G310-E310)/H310</f>
        <v>36.53</v>
      </c>
      <c r="J310" s="92">
        <f>100*(G310-E310)/F310</f>
        <v>21.64</v>
      </c>
      <c r="K310" s="58">
        <v>19</v>
      </c>
      <c r="L310" s="58">
        <v>44</v>
      </c>
      <c r="M310" s="58">
        <v>937</v>
      </c>
      <c r="N310" s="101">
        <v>1.53</v>
      </c>
      <c r="O310" s="33">
        <v>2</v>
      </c>
      <c r="P310" s="105">
        <v>4.3E-3</v>
      </c>
      <c r="Q310" s="113">
        <v>1</v>
      </c>
      <c r="R310" s="105">
        <v>3.6299999999999999E-2</v>
      </c>
      <c r="S310" s="109">
        <v>13.92</v>
      </c>
      <c r="T310" s="109">
        <v>1263.5</v>
      </c>
      <c r="U310" s="109">
        <v>3491.91</v>
      </c>
      <c r="V310" s="43">
        <v>1.0495000000000001</v>
      </c>
      <c r="W310" s="44">
        <v>5.1000000000000004E-3</v>
      </c>
    </row>
    <row r="311" spans="1:23" x14ac:dyDescent="0.25">
      <c r="A311" s="80">
        <v>3</v>
      </c>
      <c r="B311" s="81" t="s">
        <v>17</v>
      </c>
      <c r="C311" s="82" t="s">
        <v>349</v>
      </c>
      <c r="D311" s="51">
        <v>0</v>
      </c>
      <c r="E311" s="92">
        <v>71.400000000000006</v>
      </c>
      <c r="F311" s="92">
        <v>41.36</v>
      </c>
      <c r="G311" s="92">
        <v>80.23</v>
      </c>
      <c r="H311" s="92">
        <v>24.5</v>
      </c>
      <c r="I311" s="92">
        <f>100*(G311-E311)/H311</f>
        <v>36.04</v>
      </c>
      <c r="J311" s="92">
        <f t="shared" ref="J311:J374" si="12">100*(G311-E311)/F311</f>
        <v>21.35</v>
      </c>
      <c r="K311" s="58">
        <v>19</v>
      </c>
      <c r="L311" s="58">
        <v>44</v>
      </c>
      <c r="M311" s="58">
        <v>937</v>
      </c>
      <c r="N311" s="101">
        <v>1.53</v>
      </c>
      <c r="O311" s="33">
        <v>2</v>
      </c>
      <c r="P311" s="105">
        <v>4.0000000000000001E-3</v>
      </c>
      <c r="Q311" s="113">
        <v>1</v>
      </c>
      <c r="R311" s="105">
        <v>4.1799999999999997E-2</v>
      </c>
      <c r="S311" s="109">
        <v>13.92</v>
      </c>
      <c r="T311" s="109">
        <v>1263.5</v>
      </c>
      <c r="U311" s="109">
        <v>3491.91</v>
      </c>
      <c r="V311" s="43">
        <v>1.0495000000000001</v>
      </c>
      <c r="W311" s="44">
        <v>5.1000000000000004E-3</v>
      </c>
    </row>
    <row r="312" spans="1:23" x14ac:dyDescent="0.25">
      <c r="A312" s="80">
        <v>3</v>
      </c>
      <c r="B312" s="81" t="s">
        <v>17</v>
      </c>
      <c r="C312" s="82" t="s">
        <v>350</v>
      </c>
      <c r="D312" s="51">
        <v>0</v>
      </c>
      <c r="E312" s="92">
        <v>71.400000000000006</v>
      </c>
      <c r="F312" s="92">
        <v>41.36</v>
      </c>
      <c r="G312" s="92">
        <v>80.11</v>
      </c>
      <c r="H312" s="92">
        <v>24.5</v>
      </c>
      <c r="I312" s="92">
        <f t="shared" ref="I312:I375" si="13">100*(G312-E312)/H312</f>
        <v>35.549999999999997</v>
      </c>
      <c r="J312" s="92">
        <f t="shared" si="12"/>
        <v>21.06</v>
      </c>
      <c r="K312" s="58">
        <v>19</v>
      </c>
      <c r="L312" s="58">
        <v>44</v>
      </c>
      <c r="M312" s="58">
        <v>937</v>
      </c>
      <c r="N312" s="101">
        <v>1.53</v>
      </c>
      <c r="O312" s="33">
        <v>2</v>
      </c>
      <c r="P312" s="105">
        <v>4.4999999999999997E-3</v>
      </c>
      <c r="Q312" s="113">
        <v>0.98</v>
      </c>
      <c r="R312" s="105">
        <v>4.0800000000000003E-2</v>
      </c>
      <c r="S312" s="109">
        <v>13.92</v>
      </c>
      <c r="T312" s="109">
        <v>1263.5</v>
      </c>
      <c r="U312" s="109">
        <v>3491.91</v>
      </c>
      <c r="V312" s="43">
        <v>1.0495000000000001</v>
      </c>
      <c r="W312" s="44">
        <v>5.1000000000000004E-3</v>
      </c>
    </row>
    <row r="313" spans="1:23" x14ac:dyDescent="0.25">
      <c r="A313" s="80">
        <v>3</v>
      </c>
      <c r="B313" s="81" t="s">
        <v>17</v>
      </c>
      <c r="C313" s="82" t="s">
        <v>351</v>
      </c>
      <c r="D313" s="51">
        <v>0</v>
      </c>
      <c r="E313" s="92">
        <v>71.400000000000006</v>
      </c>
      <c r="F313" s="92">
        <v>41.36</v>
      </c>
      <c r="G313" s="92">
        <v>79.989999999999995</v>
      </c>
      <c r="H313" s="92">
        <v>24.5</v>
      </c>
      <c r="I313" s="92">
        <f t="shared" si="13"/>
        <v>35.06</v>
      </c>
      <c r="J313" s="92">
        <f t="shared" si="12"/>
        <v>20.77</v>
      </c>
      <c r="K313" s="58">
        <v>19</v>
      </c>
      <c r="L313" s="58">
        <v>44</v>
      </c>
      <c r="M313" s="58">
        <v>937</v>
      </c>
      <c r="N313" s="101">
        <v>1.53</v>
      </c>
      <c r="O313" s="33">
        <v>2</v>
      </c>
      <c r="P313" s="105">
        <v>3.8E-3</v>
      </c>
      <c r="Q313" s="113">
        <v>1</v>
      </c>
      <c r="R313" s="105">
        <v>4.5100000000000001E-2</v>
      </c>
      <c r="S313" s="109">
        <v>13.92</v>
      </c>
      <c r="T313" s="109">
        <v>1263.5</v>
      </c>
      <c r="U313" s="109">
        <v>3491.91</v>
      </c>
      <c r="V313" s="43">
        <v>1.0495000000000001</v>
      </c>
      <c r="W313" s="44">
        <v>5.1000000000000004E-3</v>
      </c>
    </row>
    <row r="314" spans="1:23" x14ac:dyDescent="0.25">
      <c r="A314" s="80">
        <v>3</v>
      </c>
      <c r="B314" s="81" t="s">
        <v>17</v>
      </c>
      <c r="C314" s="82" t="s">
        <v>352</v>
      </c>
      <c r="D314" s="51">
        <v>0</v>
      </c>
      <c r="E314" s="92">
        <v>71.400000000000006</v>
      </c>
      <c r="F314" s="92">
        <v>41.36</v>
      </c>
      <c r="G314" s="92">
        <v>79.87</v>
      </c>
      <c r="H314" s="92">
        <v>24.5</v>
      </c>
      <c r="I314" s="92">
        <f t="shared" si="13"/>
        <v>34.57</v>
      </c>
      <c r="J314" s="92">
        <f t="shared" si="12"/>
        <v>20.48</v>
      </c>
      <c r="K314" s="58">
        <v>19</v>
      </c>
      <c r="L314" s="58">
        <v>44</v>
      </c>
      <c r="M314" s="58">
        <v>937</v>
      </c>
      <c r="N314" s="101">
        <v>1.53</v>
      </c>
      <c r="O314" s="33">
        <v>2</v>
      </c>
      <c r="P314" s="105">
        <v>4.1000000000000003E-3</v>
      </c>
      <c r="Q314" s="113">
        <v>0.98</v>
      </c>
      <c r="R314" s="105">
        <v>4.5699999999999998E-2</v>
      </c>
      <c r="S314" s="109">
        <v>13.92</v>
      </c>
      <c r="T314" s="109">
        <v>1263.5</v>
      </c>
      <c r="U314" s="109">
        <v>3491.91</v>
      </c>
      <c r="V314" s="43">
        <v>1.0495000000000001</v>
      </c>
      <c r="W314" s="44">
        <v>5.1000000000000004E-3</v>
      </c>
    </row>
    <row r="315" spans="1:23" x14ac:dyDescent="0.25">
      <c r="A315" s="80">
        <v>3</v>
      </c>
      <c r="B315" s="81" t="s">
        <v>17</v>
      </c>
      <c r="C315" s="82" t="s">
        <v>353</v>
      </c>
      <c r="D315" s="51">
        <v>0</v>
      </c>
      <c r="E315" s="92">
        <v>71.400000000000006</v>
      </c>
      <c r="F315" s="92">
        <v>41.36</v>
      </c>
      <c r="G315" s="92">
        <v>79.75</v>
      </c>
      <c r="H315" s="92">
        <v>24.5</v>
      </c>
      <c r="I315" s="92">
        <f t="shared" si="13"/>
        <v>34.08</v>
      </c>
      <c r="J315" s="92">
        <f t="shared" si="12"/>
        <v>20.190000000000001</v>
      </c>
      <c r="K315" s="58">
        <v>19</v>
      </c>
      <c r="L315" s="58">
        <v>44</v>
      </c>
      <c r="M315" s="58">
        <v>937</v>
      </c>
      <c r="N315" s="101">
        <v>1.53</v>
      </c>
      <c r="O315" s="33">
        <v>2</v>
      </c>
      <c r="P315" s="105">
        <v>3.8E-3</v>
      </c>
      <c r="Q315" s="113">
        <v>1</v>
      </c>
      <c r="R315" s="105">
        <v>4.4299999999999999E-2</v>
      </c>
      <c r="S315" s="109">
        <v>13.92</v>
      </c>
      <c r="T315" s="109">
        <v>1263.5</v>
      </c>
      <c r="U315" s="109">
        <v>3491.91</v>
      </c>
      <c r="V315" s="43">
        <v>1.0495000000000001</v>
      </c>
      <c r="W315" s="44">
        <v>5.1000000000000004E-3</v>
      </c>
    </row>
    <row r="316" spans="1:23" x14ac:dyDescent="0.25">
      <c r="A316" s="80">
        <v>3</v>
      </c>
      <c r="B316" s="81" t="s">
        <v>17</v>
      </c>
      <c r="C316" s="82" t="s">
        <v>354</v>
      </c>
      <c r="D316" s="51">
        <v>0</v>
      </c>
      <c r="E316" s="92">
        <v>71.400000000000006</v>
      </c>
      <c r="F316" s="92">
        <v>41.36</v>
      </c>
      <c r="G316" s="92">
        <v>79.62</v>
      </c>
      <c r="H316" s="92">
        <v>24.5</v>
      </c>
      <c r="I316" s="92">
        <f t="shared" si="13"/>
        <v>33.549999999999997</v>
      </c>
      <c r="J316" s="92">
        <f t="shared" si="12"/>
        <v>19.87</v>
      </c>
      <c r="K316" s="58">
        <v>19</v>
      </c>
      <c r="L316" s="58">
        <v>44</v>
      </c>
      <c r="M316" s="58">
        <v>937</v>
      </c>
      <c r="N316" s="101">
        <v>1.53</v>
      </c>
      <c r="O316" s="33">
        <v>2</v>
      </c>
      <c r="P316" s="105">
        <v>3.7000000000000002E-3</v>
      </c>
      <c r="Q316" s="113">
        <v>1</v>
      </c>
      <c r="R316" s="105">
        <v>4.1799999999999997E-2</v>
      </c>
      <c r="S316" s="109">
        <v>13.92</v>
      </c>
      <c r="T316" s="109">
        <v>1263.5</v>
      </c>
      <c r="U316" s="109">
        <v>3491.91</v>
      </c>
      <c r="V316" s="43">
        <v>1.0495000000000001</v>
      </c>
      <c r="W316" s="44">
        <v>5.1000000000000004E-3</v>
      </c>
    </row>
    <row r="317" spans="1:23" x14ac:dyDescent="0.25">
      <c r="A317" s="80">
        <v>3</v>
      </c>
      <c r="B317" s="81" t="s">
        <v>17</v>
      </c>
      <c r="C317" s="82" t="s">
        <v>355</v>
      </c>
      <c r="D317" s="51">
        <v>0</v>
      </c>
      <c r="E317" s="92">
        <v>71.400000000000006</v>
      </c>
      <c r="F317" s="92">
        <v>41.36</v>
      </c>
      <c r="G317" s="92">
        <v>79.5</v>
      </c>
      <c r="H317" s="92">
        <v>24.5</v>
      </c>
      <c r="I317" s="92">
        <f t="shared" si="13"/>
        <v>33.06</v>
      </c>
      <c r="J317" s="92">
        <f t="shared" si="12"/>
        <v>19.579999999999998</v>
      </c>
      <c r="K317" s="58">
        <v>19</v>
      </c>
      <c r="L317" s="58">
        <v>44</v>
      </c>
      <c r="M317" s="58">
        <v>937</v>
      </c>
      <c r="N317" s="101">
        <v>1.53</v>
      </c>
      <c r="O317" s="33">
        <v>2</v>
      </c>
      <c r="P317" s="105">
        <v>3.5000000000000001E-3</v>
      </c>
      <c r="Q317" s="113">
        <v>1</v>
      </c>
      <c r="R317" s="105">
        <v>4.4699999999999997E-2</v>
      </c>
      <c r="S317" s="109">
        <v>13.92</v>
      </c>
      <c r="T317" s="109">
        <v>1263.5</v>
      </c>
      <c r="U317" s="109">
        <v>3491.91</v>
      </c>
      <c r="V317" s="43">
        <v>1.0495000000000001</v>
      </c>
      <c r="W317" s="44">
        <v>5.1000000000000004E-3</v>
      </c>
    </row>
    <row r="318" spans="1:23" x14ac:dyDescent="0.25">
      <c r="A318" s="80">
        <v>3</v>
      </c>
      <c r="B318" s="81" t="s">
        <v>17</v>
      </c>
      <c r="C318" s="82" t="s">
        <v>356</v>
      </c>
      <c r="D318" s="51">
        <v>0</v>
      </c>
      <c r="E318" s="92">
        <v>71.400000000000006</v>
      </c>
      <c r="F318" s="92">
        <v>41.36</v>
      </c>
      <c r="G318" s="92">
        <v>79.38</v>
      </c>
      <c r="H318" s="92">
        <v>24.5</v>
      </c>
      <c r="I318" s="92">
        <f t="shared" si="13"/>
        <v>32.57</v>
      </c>
      <c r="J318" s="92">
        <f t="shared" si="12"/>
        <v>19.29</v>
      </c>
      <c r="K318" s="58">
        <v>19</v>
      </c>
      <c r="L318" s="58">
        <v>44</v>
      </c>
      <c r="M318" s="58">
        <v>937</v>
      </c>
      <c r="N318" s="101">
        <v>1.53</v>
      </c>
      <c r="O318" s="33">
        <v>2</v>
      </c>
      <c r="P318" s="105">
        <v>3.3999999999999998E-3</v>
      </c>
      <c r="Q318" s="113">
        <v>1</v>
      </c>
      <c r="R318" s="105">
        <v>4.4600000000000001E-2</v>
      </c>
      <c r="S318" s="109">
        <v>13.92</v>
      </c>
      <c r="T318" s="109">
        <v>1263.5</v>
      </c>
      <c r="U318" s="109">
        <v>3491.91</v>
      </c>
      <c r="V318" s="43">
        <v>1.0495000000000001</v>
      </c>
      <c r="W318" s="44">
        <v>5.1000000000000004E-3</v>
      </c>
    </row>
    <row r="319" spans="1:23" x14ac:dyDescent="0.25">
      <c r="A319" s="80">
        <v>3</v>
      </c>
      <c r="B319" s="81" t="s">
        <v>17</v>
      </c>
      <c r="C319" s="82" t="s">
        <v>357</v>
      </c>
      <c r="D319" s="51">
        <v>0</v>
      </c>
      <c r="E319" s="92">
        <v>71.400000000000006</v>
      </c>
      <c r="F319" s="92">
        <v>41.36</v>
      </c>
      <c r="G319" s="92">
        <v>79.25</v>
      </c>
      <c r="H319" s="92">
        <v>24.5</v>
      </c>
      <c r="I319" s="92">
        <f t="shared" si="13"/>
        <v>32.04</v>
      </c>
      <c r="J319" s="92">
        <f t="shared" si="12"/>
        <v>18.98</v>
      </c>
      <c r="K319" s="58">
        <v>19</v>
      </c>
      <c r="L319" s="58">
        <v>44</v>
      </c>
      <c r="M319" s="58">
        <v>937</v>
      </c>
      <c r="N319" s="101">
        <v>1.53</v>
      </c>
      <c r="O319" s="33">
        <v>2</v>
      </c>
      <c r="P319" s="105">
        <v>3.3E-3</v>
      </c>
      <c r="Q319" s="113">
        <v>1</v>
      </c>
      <c r="R319" s="105">
        <v>4.3799999999999999E-2</v>
      </c>
      <c r="S319" s="109">
        <v>13.92</v>
      </c>
      <c r="T319" s="109">
        <v>1263.5</v>
      </c>
      <c r="U319" s="109">
        <v>3491.91</v>
      </c>
      <c r="V319" s="43">
        <v>1.0495000000000001</v>
      </c>
      <c r="W319" s="44">
        <v>5.1000000000000004E-3</v>
      </c>
    </row>
    <row r="320" spans="1:23" x14ac:dyDescent="0.25">
      <c r="A320" s="80">
        <v>3</v>
      </c>
      <c r="B320" s="81" t="s">
        <v>17</v>
      </c>
      <c r="C320" s="82" t="s">
        <v>358</v>
      </c>
      <c r="D320" s="51">
        <v>0</v>
      </c>
      <c r="E320" s="92">
        <v>71.400000000000006</v>
      </c>
      <c r="F320" s="92">
        <v>41.36</v>
      </c>
      <c r="G320" s="92">
        <v>79.13</v>
      </c>
      <c r="H320" s="92">
        <v>24.5</v>
      </c>
      <c r="I320" s="92">
        <f t="shared" si="13"/>
        <v>31.55</v>
      </c>
      <c r="J320" s="92">
        <f t="shared" si="12"/>
        <v>18.690000000000001</v>
      </c>
      <c r="K320" s="58">
        <v>19</v>
      </c>
      <c r="L320" s="58">
        <v>44</v>
      </c>
      <c r="M320" s="58">
        <v>937</v>
      </c>
      <c r="N320" s="101">
        <v>1.53</v>
      </c>
      <c r="O320" s="33">
        <v>2</v>
      </c>
      <c r="P320" s="105">
        <v>3.3999999999999998E-3</v>
      </c>
      <c r="Q320" s="113">
        <v>1</v>
      </c>
      <c r="R320" s="105">
        <v>4.19E-2</v>
      </c>
      <c r="S320" s="109">
        <v>13.92</v>
      </c>
      <c r="T320" s="109">
        <v>1263.5</v>
      </c>
      <c r="U320" s="109">
        <v>3491.91</v>
      </c>
      <c r="V320" s="43">
        <v>1.0495000000000001</v>
      </c>
      <c r="W320" s="44">
        <v>5.1000000000000004E-3</v>
      </c>
    </row>
    <row r="321" spans="1:23" x14ac:dyDescent="0.25">
      <c r="A321" s="80">
        <v>3</v>
      </c>
      <c r="B321" s="81" t="s">
        <v>17</v>
      </c>
      <c r="C321" s="82" t="s">
        <v>359</v>
      </c>
      <c r="D321" s="51">
        <v>0</v>
      </c>
      <c r="E321" s="92">
        <v>71.400000000000006</v>
      </c>
      <c r="F321" s="92">
        <v>41.36</v>
      </c>
      <c r="G321" s="92">
        <v>79.010000000000005</v>
      </c>
      <c r="H321" s="92">
        <v>24.5</v>
      </c>
      <c r="I321" s="92">
        <f t="shared" si="13"/>
        <v>31.06</v>
      </c>
      <c r="J321" s="92">
        <f t="shared" si="12"/>
        <v>18.399999999999999</v>
      </c>
      <c r="K321" s="58">
        <v>19</v>
      </c>
      <c r="L321" s="58">
        <v>44</v>
      </c>
      <c r="M321" s="58">
        <v>937</v>
      </c>
      <c r="N321" s="101">
        <v>1.53</v>
      </c>
      <c r="O321" s="33">
        <v>2</v>
      </c>
      <c r="P321" s="105">
        <v>3.3E-3</v>
      </c>
      <c r="Q321" s="113">
        <v>1</v>
      </c>
      <c r="R321" s="105">
        <v>4.2999999999999997E-2</v>
      </c>
      <c r="S321" s="109">
        <v>13.92</v>
      </c>
      <c r="T321" s="109">
        <v>1263.5</v>
      </c>
      <c r="U321" s="109">
        <v>3491.91</v>
      </c>
      <c r="V321" s="43">
        <v>1.0495000000000001</v>
      </c>
      <c r="W321" s="44">
        <v>5.1000000000000004E-3</v>
      </c>
    </row>
    <row r="322" spans="1:23" x14ac:dyDescent="0.25">
      <c r="A322" s="80">
        <v>3</v>
      </c>
      <c r="B322" s="81" t="s">
        <v>17</v>
      </c>
      <c r="C322" s="82" t="s">
        <v>360</v>
      </c>
      <c r="D322" s="51">
        <v>0</v>
      </c>
      <c r="E322" s="92">
        <v>71.400000000000006</v>
      </c>
      <c r="F322" s="92">
        <v>41.36</v>
      </c>
      <c r="G322" s="92">
        <v>78.88</v>
      </c>
      <c r="H322" s="92">
        <v>24.5</v>
      </c>
      <c r="I322" s="92">
        <f t="shared" si="13"/>
        <v>30.53</v>
      </c>
      <c r="J322" s="92">
        <f t="shared" si="12"/>
        <v>18.09</v>
      </c>
      <c r="K322" s="58">
        <v>19</v>
      </c>
      <c r="L322" s="58">
        <v>44</v>
      </c>
      <c r="M322" s="58">
        <v>937</v>
      </c>
      <c r="N322" s="101">
        <v>1.53</v>
      </c>
      <c r="O322" s="33">
        <v>2</v>
      </c>
      <c r="P322" s="105">
        <v>3.2000000000000002E-3</v>
      </c>
      <c r="Q322" s="113">
        <v>1</v>
      </c>
      <c r="R322" s="105">
        <v>4.2200000000000001E-2</v>
      </c>
      <c r="S322" s="109">
        <v>13.92</v>
      </c>
      <c r="T322" s="109">
        <v>1263.5</v>
      </c>
      <c r="U322" s="109">
        <v>3491.91</v>
      </c>
      <c r="V322" s="43">
        <v>1.0495000000000001</v>
      </c>
      <c r="W322" s="44">
        <v>5.1000000000000004E-3</v>
      </c>
    </row>
    <row r="323" spans="1:23" x14ac:dyDescent="0.25">
      <c r="A323" s="80">
        <v>3</v>
      </c>
      <c r="B323" s="81" t="s">
        <v>17</v>
      </c>
      <c r="C323" s="82" t="s">
        <v>361</v>
      </c>
      <c r="D323" s="51">
        <v>0</v>
      </c>
      <c r="E323" s="92">
        <v>71.400000000000006</v>
      </c>
      <c r="F323" s="92">
        <v>41.36</v>
      </c>
      <c r="G323" s="92">
        <v>78.760000000000005</v>
      </c>
      <c r="H323" s="92">
        <v>24.5</v>
      </c>
      <c r="I323" s="92">
        <f t="shared" si="13"/>
        <v>30.04</v>
      </c>
      <c r="J323" s="92">
        <f t="shared" si="12"/>
        <v>17.79</v>
      </c>
      <c r="K323" s="58">
        <v>19</v>
      </c>
      <c r="L323" s="58">
        <v>44</v>
      </c>
      <c r="M323" s="58">
        <v>937</v>
      </c>
      <c r="N323" s="101">
        <v>1.53</v>
      </c>
      <c r="O323" s="33">
        <v>2</v>
      </c>
      <c r="P323" s="105">
        <v>3.2000000000000002E-3</v>
      </c>
      <c r="Q323" s="113">
        <v>1</v>
      </c>
      <c r="R323" s="105">
        <v>4.0399999999999998E-2</v>
      </c>
      <c r="S323" s="109">
        <v>13.92</v>
      </c>
      <c r="T323" s="109">
        <v>1263.5</v>
      </c>
      <c r="U323" s="109">
        <v>3491.91</v>
      </c>
      <c r="V323" s="43">
        <v>1.0495000000000001</v>
      </c>
      <c r="W323" s="44">
        <v>5.1000000000000004E-3</v>
      </c>
    </row>
    <row r="324" spans="1:23" x14ac:dyDescent="0.25">
      <c r="A324" s="80">
        <v>3</v>
      </c>
      <c r="B324" s="81" t="s">
        <v>17</v>
      </c>
      <c r="C324" s="82" t="s">
        <v>362</v>
      </c>
      <c r="D324" s="51">
        <v>0</v>
      </c>
      <c r="E324" s="92">
        <v>71.400000000000006</v>
      </c>
      <c r="F324" s="92">
        <v>41.36</v>
      </c>
      <c r="G324" s="92">
        <v>78.64</v>
      </c>
      <c r="H324" s="92">
        <v>24.5</v>
      </c>
      <c r="I324" s="92">
        <f t="shared" si="13"/>
        <v>29.55</v>
      </c>
      <c r="J324" s="92">
        <f t="shared" si="12"/>
        <v>17.5</v>
      </c>
      <c r="K324" s="58">
        <v>19</v>
      </c>
      <c r="L324" s="58">
        <v>44</v>
      </c>
      <c r="M324" s="58">
        <v>937</v>
      </c>
      <c r="N324" s="101">
        <v>1.53</v>
      </c>
      <c r="O324" s="33">
        <v>2</v>
      </c>
      <c r="P324" s="105">
        <v>3.0999999999999999E-3</v>
      </c>
      <c r="Q324" s="113">
        <v>1</v>
      </c>
      <c r="R324" s="105">
        <v>4.1200000000000001E-2</v>
      </c>
      <c r="S324" s="109">
        <v>13.92</v>
      </c>
      <c r="T324" s="109">
        <v>1263.5</v>
      </c>
      <c r="U324" s="109">
        <v>3491.91</v>
      </c>
      <c r="V324" s="43">
        <v>1.0495000000000001</v>
      </c>
      <c r="W324" s="44">
        <v>5.1000000000000004E-3</v>
      </c>
    </row>
    <row r="325" spans="1:23" x14ac:dyDescent="0.25">
      <c r="A325" s="80">
        <v>3</v>
      </c>
      <c r="B325" s="81" t="s">
        <v>17</v>
      </c>
      <c r="C325" s="82" t="s">
        <v>363</v>
      </c>
      <c r="D325" s="51">
        <v>0</v>
      </c>
      <c r="E325" s="92">
        <v>71.400000000000006</v>
      </c>
      <c r="F325" s="92">
        <v>41.36</v>
      </c>
      <c r="G325" s="92">
        <v>78.510000000000005</v>
      </c>
      <c r="H325" s="92">
        <v>24.5</v>
      </c>
      <c r="I325" s="92">
        <f t="shared" si="13"/>
        <v>29.02</v>
      </c>
      <c r="J325" s="92">
        <f t="shared" si="12"/>
        <v>17.190000000000001</v>
      </c>
      <c r="K325" s="58">
        <v>19</v>
      </c>
      <c r="L325" s="58">
        <v>44</v>
      </c>
      <c r="M325" s="58">
        <v>937</v>
      </c>
      <c r="N325" s="101">
        <v>1.53</v>
      </c>
      <c r="O325" s="33">
        <v>2</v>
      </c>
      <c r="P325" s="105">
        <v>3.0000000000000001E-3</v>
      </c>
      <c r="Q325" s="113">
        <v>1</v>
      </c>
      <c r="R325" s="105">
        <v>4.1099999999999998E-2</v>
      </c>
      <c r="S325" s="109">
        <v>13.92</v>
      </c>
      <c r="T325" s="109">
        <v>1263.5</v>
      </c>
      <c r="U325" s="109">
        <v>3491.91</v>
      </c>
      <c r="V325" s="43">
        <v>1.0495000000000001</v>
      </c>
      <c r="W325" s="44">
        <v>5.1000000000000004E-3</v>
      </c>
    </row>
    <row r="326" spans="1:23" x14ac:dyDescent="0.25">
      <c r="A326" s="80">
        <v>3</v>
      </c>
      <c r="B326" s="81" t="s">
        <v>17</v>
      </c>
      <c r="C326" s="82" t="s">
        <v>364</v>
      </c>
      <c r="D326" s="51">
        <v>0</v>
      </c>
      <c r="E326" s="92">
        <v>71.400000000000006</v>
      </c>
      <c r="F326" s="92">
        <v>41.36</v>
      </c>
      <c r="G326" s="92">
        <v>78.38</v>
      </c>
      <c r="H326" s="92">
        <v>24.5</v>
      </c>
      <c r="I326" s="92">
        <f t="shared" si="13"/>
        <v>28.49</v>
      </c>
      <c r="J326" s="92">
        <f t="shared" si="12"/>
        <v>16.88</v>
      </c>
      <c r="K326" s="58">
        <v>19</v>
      </c>
      <c r="L326" s="58">
        <v>44</v>
      </c>
      <c r="M326" s="58">
        <v>937</v>
      </c>
      <c r="N326" s="101">
        <v>1.53</v>
      </c>
      <c r="O326" s="33">
        <v>2</v>
      </c>
      <c r="P326" s="105">
        <v>3.0000000000000001E-3</v>
      </c>
      <c r="Q326" s="113">
        <v>1</v>
      </c>
      <c r="R326" s="105">
        <v>3.7199999999999997E-2</v>
      </c>
      <c r="S326" s="109">
        <v>13.92</v>
      </c>
      <c r="T326" s="109">
        <v>1263.5</v>
      </c>
      <c r="U326" s="109">
        <v>3491.91</v>
      </c>
      <c r="V326" s="43">
        <v>1.0495000000000001</v>
      </c>
      <c r="W326" s="44">
        <v>5.1000000000000004E-3</v>
      </c>
    </row>
    <row r="327" spans="1:23" x14ac:dyDescent="0.25">
      <c r="A327" s="80">
        <v>3</v>
      </c>
      <c r="B327" s="81" t="s">
        <v>17</v>
      </c>
      <c r="C327" s="82" t="s">
        <v>365</v>
      </c>
      <c r="D327" s="51">
        <v>0</v>
      </c>
      <c r="E327" s="92">
        <v>71.400000000000006</v>
      </c>
      <c r="F327" s="92">
        <v>41.36</v>
      </c>
      <c r="G327" s="92">
        <v>78.27</v>
      </c>
      <c r="H327" s="92">
        <v>24.5</v>
      </c>
      <c r="I327" s="92">
        <f t="shared" si="13"/>
        <v>28.04</v>
      </c>
      <c r="J327" s="92">
        <f t="shared" si="12"/>
        <v>16.61</v>
      </c>
      <c r="K327" s="58">
        <v>19</v>
      </c>
      <c r="L327" s="58">
        <v>44</v>
      </c>
      <c r="M327" s="58">
        <v>937</v>
      </c>
      <c r="N327" s="101">
        <v>1.53</v>
      </c>
      <c r="O327" s="33">
        <v>2</v>
      </c>
      <c r="P327" s="105">
        <v>2.8999999999999998E-3</v>
      </c>
      <c r="Q327" s="113">
        <v>1</v>
      </c>
      <c r="R327" s="105">
        <v>3.9899999999999998E-2</v>
      </c>
      <c r="S327" s="109">
        <v>13.92</v>
      </c>
      <c r="T327" s="109">
        <v>1263.5</v>
      </c>
      <c r="U327" s="109">
        <v>3491.91</v>
      </c>
      <c r="V327" s="43">
        <v>1.0495000000000001</v>
      </c>
      <c r="W327" s="44">
        <v>5.1000000000000004E-3</v>
      </c>
    </row>
    <row r="328" spans="1:23" x14ac:dyDescent="0.25">
      <c r="A328" s="80">
        <v>3</v>
      </c>
      <c r="B328" s="81" t="s">
        <v>17</v>
      </c>
      <c r="C328" s="82" t="s">
        <v>366</v>
      </c>
      <c r="D328" s="51">
        <v>0</v>
      </c>
      <c r="E328" s="92">
        <v>71.400000000000006</v>
      </c>
      <c r="F328" s="92">
        <v>41.36</v>
      </c>
      <c r="G328" s="92">
        <v>78.14</v>
      </c>
      <c r="H328" s="92">
        <v>24.5</v>
      </c>
      <c r="I328" s="92">
        <f t="shared" si="13"/>
        <v>27.51</v>
      </c>
      <c r="J328" s="92">
        <f t="shared" si="12"/>
        <v>16.3</v>
      </c>
      <c r="K328" s="58">
        <v>19</v>
      </c>
      <c r="L328" s="58">
        <v>44</v>
      </c>
      <c r="M328" s="58">
        <v>937</v>
      </c>
      <c r="N328" s="101">
        <v>1.53</v>
      </c>
      <c r="O328" s="33">
        <v>2</v>
      </c>
      <c r="P328" s="105">
        <v>3.0000000000000001E-3</v>
      </c>
      <c r="Q328" s="113">
        <v>1</v>
      </c>
      <c r="R328" s="105">
        <v>3.6700000000000003E-2</v>
      </c>
      <c r="S328" s="109">
        <v>13.92</v>
      </c>
      <c r="T328" s="109">
        <v>1263.5</v>
      </c>
      <c r="U328" s="109">
        <v>3491.91</v>
      </c>
      <c r="V328" s="43">
        <v>1.0495000000000001</v>
      </c>
      <c r="W328" s="44">
        <v>5.1000000000000004E-3</v>
      </c>
    </row>
    <row r="329" spans="1:23" x14ac:dyDescent="0.25">
      <c r="A329" s="80">
        <v>3</v>
      </c>
      <c r="B329" s="81" t="s">
        <v>17</v>
      </c>
      <c r="C329" s="82" t="s">
        <v>367</v>
      </c>
      <c r="D329" s="51">
        <v>0</v>
      </c>
      <c r="E329" s="92">
        <v>71.400000000000006</v>
      </c>
      <c r="F329" s="92">
        <v>41.36</v>
      </c>
      <c r="G329" s="92">
        <v>78.02</v>
      </c>
      <c r="H329" s="92">
        <v>24.5</v>
      </c>
      <c r="I329" s="92">
        <f t="shared" si="13"/>
        <v>27.02</v>
      </c>
      <c r="J329" s="92">
        <f t="shared" si="12"/>
        <v>16.010000000000002</v>
      </c>
      <c r="K329" s="58">
        <v>19</v>
      </c>
      <c r="L329" s="58">
        <v>44</v>
      </c>
      <c r="M329" s="58">
        <v>937</v>
      </c>
      <c r="N329" s="101">
        <v>1.53</v>
      </c>
      <c r="O329" s="33">
        <v>2</v>
      </c>
      <c r="P329" s="105">
        <v>2.8E-3</v>
      </c>
      <c r="Q329" s="113">
        <v>1</v>
      </c>
      <c r="R329" s="105">
        <v>3.7900000000000003E-2</v>
      </c>
      <c r="S329" s="109">
        <v>13.92</v>
      </c>
      <c r="T329" s="109">
        <v>1263.5</v>
      </c>
      <c r="U329" s="109">
        <v>3491.91</v>
      </c>
      <c r="V329" s="43">
        <v>1.0495000000000001</v>
      </c>
      <c r="W329" s="44">
        <v>5.1000000000000004E-3</v>
      </c>
    </row>
    <row r="330" spans="1:23" x14ac:dyDescent="0.25">
      <c r="A330" s="80">
        <v>3</v>
      </c>
      <c r="B330" s="81" t="s">
        <v>17</v>
      </c>
      <c r="C330" s="82" t="s">
        <v>368</v>
      </c>
      <c r="D330" s="51">
        <v>0</v>
      </c>
      <c r="E330" s="92">
        <v>71.400000000000006</v>
      </c>
      <c r="F330" s="92">
        <v>41.36</v>
      </c>
      <c r="G330" s="92">
        <v>77.89</v>
      </c>
      <c r="H330" s="92">
        <v>24.5</v>
      </c>
      <c r="I330" s="92">
        <f t="shared" si="13"/>
        <v>26.49</v>
      </c>
      <c r="J330" s="92">
        <f t="shared" si="12"/>
        <v>15.69</v>
      </c>
      <c r="K330" s="58">
        <v>19</v>
      </c>
      <c r="L330" s="58">
        <v>44</v>
      </c>
      <c r="M330" s="58">
        <v>937</v>
      </c>
      <c r="N330" s="101">
        <v>1.53</v>
      </c>
      <c r="O330" s="33">
        <v>2</v>
      </c>
      <c r="P330" s="105">
        <v>2.8E-3</v>
      </c>
      <c r="Q330" s="113">
        <v>1</v>
      </c>
      <c r="R330" s="105">
        <v>3.5299999999999998E-2</v>
      </c>
      <c r="S330" s="109">
        <v>13.92</v>
      </c>
      <c r="T330" s="109">
        <v>1263.5</v>
      </c>
      <c r="U330" s="109">
        <v>3491.91</v>
      </c>
      <c r="V330" s="43">
        <v>1.0495000000000001</v>
      </c>
      <c r="W330" s="44">
        <v>5.1000000000000004E-3</v>
      </c>
    </row>
    <row r="331" spans="1:23" x14ac:dyDescent="0.25">
      <c r="A331" s="80">
        <v>3</v>
      </c>
      <c r="B331" s="81" t="s">
        <v>17</v>
      </c>
      <c r="C331" s="82" t="s">
        <v>369</v>
      </c>
      <c r="D331" s="51">
        <v>0</v>
      </c>
      <c r="E331" s="92">
        <v>71.400000000000006</v>
      </c>
      <c r="F331" s="92">
        <v>41.36</v>
      </c>
      <c r="G331" s="92">
        <v>77.78</v>
      </c>
      <c r="H331" s="92">
        <v>24.5</v>
      </c>
      <c r="I331" s="92">
        <f t="shared" si="13"/>
        <v>26.04</v>
      </c>
      <c r="J331" s="92">
        <f t="shared" si="12"/>
        <v>15.43</v>
      </c>
      <c r="K331" s="58">
        <v>19</v>
      </c>
      <c r="L331" s="58">
        <v>44</v>
      </c>
      <c r="M331" s="58">
        <v>937</v>
      </c>
      <c r="N331" s="101">
        <v>1.53</v>
      </c>
      <c r="O331" s="33">
        <v>2</v>
      </c>
      <c r="P331" s="105">
        <v>2.7000000000000001E-3</v>
      </c>
      <c r="Q331" s="113">
        <v>1</v>
      </c>
      <c r="R331" s="105">
        <v>3.4500000000000003E-2</v>
      </c>
      <c r="S331" s="109">
        <v>13.92</v>
      </c>
      <c r="T331" s="109">
        <v>1263.5</v>
      </c>
      <c r="U331" s="109">
        <v>3491.91</v>
      </c>
      <c r="V331" s="43">
        <v>1.0495000000000001</v>
      </c>
      <c r="W331" s="44">
        <v>5.1000000000000004E-3</v>
      </c>
    </row>
    <row r="332" spans="1:23" x14ac:dyDescent="0.25">
      <c r="A332" s="80">
        <v>3</v>
      </c>
      <c r="B332" s="81" t="s">
        <v>17</v>
      </c>
      <c r="C332" s="82" t="s">
        <v>370</v>
      </c>
      <c r="D332" s="51">
        <v>0</v>
      </c>
      <c r="E332" s="92">
        <v>71.400000000000006</v>
      </c>
      <c r="F332" s="92">
        <v>41.36</v>
      </c>
      <c r="G332" s="92">
        <v>77.650000000000006</v>
      </c>
      <c r="H332" s="92">
        <v>24.5</v>
      </c>
      <c r="I332" s="92">
        <f t="shared" si="13"/>
        <v>25.51</v>
      </c>
      <c r="J332" s="92">
        <f t="shared" si="12"/>
        <v>15.11</v>
      </c>
      <c r="K332" s="58">
        <v>19</v>
      </c>
      <c r="L332" s="58">
        <v>44</v>
      </c>
      <c r="M332" s="58">
        <v>937</v>
      </c>
      <c r="N332" s="101">
        <v>1.53</v>
      </c>
      <c r="O332" s="33">
        <v>2</v>
      </c>
      <c r="P332" s="105">
        <v>2.5999999999999999E-3</v>
      </c>
      <c r="Q332" s="113">
        <v>1</v>
      </c>
      <c r="R332" s="105">
        <v>3.3799999999999997E-2</v>
      </c>
      <c r="S332" s="109">
        <v>13.92</v>
      </c>
      <c r="T332" s="109">
        <v>1263.5</v>
      </c>
      <c r="U332" s="109">
        <v>3491.91</v>
      </c>
      <c r="V332" s="43">
        <v>1.0495000000000001</v>
      </c>
      <c r="W332" s="44">
        <v>5.1000000000000004E-3</v>
      </c>
    </row>
    <row r="333" spans="1:23" x14ac:dyDescent="0.25">
      <c r="A333" s="80">
        <v>3</v>
      </c>
      <c r="B333" s="81" t="s">
        <v>17</v>
      </c>
      <c r="C333" s="82" t="s">
        <v>371</v>
      </c>
      <c r="D333" s="51">
        <v>0</v>
      </c>
      <c r="E333" s="92">
        <v>71.400000000000006</v>
      </c>
      <c r="F333" s="92">
        <v>41.36</v>
      </c>
      <c r="G333" s="92">
        <v>77.53</v>
      </c>
      <c r="H333" s="92">
        <v>24.5</v>
      </c>
      <c r="I333" s="92">
        <f t="shared" si="13"/>
        <v>25.02</v>
      </c>
      <c r="J333" s="92">
        <f t="shared" si="12"/>
        <v>14.82</v>
      </c>
      <c r="K333" s="58">
        <v>19</v>
      </c>
      <c r="L333" s="58">
        <v>44</v>
      </c>
      <c r="M333" s="58">
        <v>937</v>
      </c>
      <c r="N333" s="101">
        <v>1.53</v>
      </c>
      <c r="O333" s="33">
        <v>2</v>
      </c>
      <c r="P333" s="105">
        <v>2.5999999999999999E-3</v>
      </c>
      <c r="Q333" s="113">
        <v>1</v>
      </c>
      <c r="R333" s="105">
        <v>3.32E-2</v>
      </c>
      <c r="S333" s="109">
        <v>13.92</v>
      </c>
      <c r="T333" s="109">
        <v>1263.5</v>
      </c>
      <c r="U333" s="109">
        <v>3491.91</v>
      </c>
      <c r="V333" s="43">
        <v>1.0495000000000001</v>
      </c>
      <c r="W333" s="44">
        <v>5.1000000000000004E-3</v>
      </c>
    </row>
    <row r="334" spans="1:23" x14ac:dyDescent="0.25">
      <c r="A334" s="80">
        <v>3</v>
      </c>
      <c r="B334" s="81" t="s">
        <v>17</v>
      </c>
      <c r="C334" s="82" t="s">
        <v>372</v>
      </c>
      <c r="D334" s="51">
        <v>0</v>
      </c>
      <c r="E334" s="92">
        <v>71.400000000000006</v>
      </c>
      <c r="F334" s="92">
        <v>41.36</v>
      </c>
      <c r="G334" s="92">
        <v>77.400000000000006</v>
      </c>
      <c r="H334" s="92">
        <v>24.5</v>
      </c>
      <c r="I334" s="92">
        <f t="shared" si="13"/>
        <v>24.49</v>
      </c>
      <c r="J334" s="92">
        <f t="shared" si="12"/>
        <v>14.51</v>
      </c>
      <c r="K334" s="58">
        <v>19</v>
      </c>
      <c r="L334" s="58">
        <v>44</v>
      </c>
      <c r="M334" s="58">
        <v>937</v>
      </c>
      <c r="N334" s="101">
        <v>1.53</v>
      </c>
      <c r="O334" s="33">
        <v>2</v>
      </c>
      <c r="P334" s="105">
        <v>2.7000000000000001E-3</v>
      </c>
      <c r="Q334" s="113">
        <v>1</v>
      </c>
      <c r="R334" s="105">
        <v>3.0800000000000001E-2</v>
      </c>
      <c r="S334" s="109">
        <v>13.92</v>
      </c>
      <c r="T334" s="109">
        <v>1263.5</v>
      </c>
      <c r="U334" s="109">
        <v>3491.91</v>
      </c>
      <c r="V334" s="43">
        <v>1.0495000000000001</v>
      </c>
      <c r="W334" s="44">
        <v>5.1000000000000004E-3</v>
      </c>
    </row>
    <row r="335" spans="1:23" x14ac:dyDescent="0.25">
      <c r="A335" s="80">
        <v>3</v>
      </c>
      <c r="B335" s="81" t="s">
        <v>17</v>
      </c>
      <c r="C335" s="82" t="s">
        <v>373</v>
      </c>
      <c r="D335" s="51">
        <v>0</v>
      </c>
      <c r="E335" s="92">
        <v>71.400000000000006</v>
      </c>
      <c r="F335" s="92">
        <v>41.36</v>
      </c>
      <c r="G335" s="92">
        <v>77.28</v>
      </c>
      <c r="H335" s="92">
        <v>24.5</v>
      </c>
      <c r="I335" s="92">
        <f t="shared" si="13"/>
        <v>24</v>
      </c>
      <c r="J335" s="92">
        <f t="shared" si="12"/>
        <v>14.22</v>
      </c>
      <c r="K335" s="58">
        <v>19</v>
      </c>
      <c r="L335" s="58">
        <v>44</v>
      </c>
      <c r="M335" s="58">
        <v>937</v>
      </c>
      <c r="N335" s="101">
        <v>1.53</v>
      </c>
      <c r="O335" s="33">
        <v>2</v>
      </c>
      <c r="P335" s="105">
        <v>2.8E-3</v>
      </c>
      <c r="Q335" s="113">
        <v>0.98</v>
      </c>
      <c r="R335" s="105">
        <v>3.3000000000000002E-2</v>
      </c>
      <c r="S335" s="109">
        <v>13.92</v>
      </c>
      <c r="T335" s="109">
        <v>1263.5</v>
      </c>
      <c r="U335" s="109">
        <v>3491.91</v>
      </c>
      <c r="V335" s="43">
        <v>1.0495000000000001</v>
      </c>
      <c r="W335" s="44">
        <v>5.1000000000000004E-3</v>
      </c>
    </row>
    <row r="336" spans="1:23" x14ac:dyDescent="0.25">
      <c r="A336" s="80">
        <v>3</v>
      </c>
      <c r="B336" s="81" t="s">
        <v>17</v>
      </c>
      <c r="C336" s="82" t="s">
        <v>374</v>
      </c>
      <c r="D336" s="51">
        <v>0</v>
      </c>
      <c r="E336" s="92">
        <v>71.400000000000006</v>
      </c>
      <c r="F336" s="92">
        <v>41.36</v>
      </c>
      <c r="G336" s="92">
        <v>77.16</v>
      </c>
      <c r="H336" s="92">
        <v>24.5</v>
      </c>
      <c r="I336" s="92">
        <f t="shared" si="13"/>
        <v>23.51</v>
      </c>
      <c r="J336" s="92">
        <f t="shared" si="12"/>
        <v>13.93</v>
      </c>
      <c r="K336" s="58">
        <v>19</v>
      </c>
      <c r="L336" s="58">
        <v>44</v>
      </c>
      <c r="M336" s="58">
        <v>937</v>
      </c>
      <c r="N336" s="101">
        <v>1.53</v>
      </c>
      <c r="O336" s="33">
        <v>2</v>
      </c>
      <c r="P336" s="105">
        <v>2.3999999999999998E-3</v>
      </c>
      <c r="Q336" s="113">
        <v>1</v>
      </c>
      <c r="R336" s="105">
        <v>2.92E-2</v>
      </c>
      <c r="S336" s="109">
        <v>13.92</v>
      </c>
      <c r="T336" s="109">
        <v>1263.5</v>
      </c>
      <c r="U336" s="109">
        <v>3491.91</v>
      </c>
      <c r="V336" s="43">
        <v>1.0495000000000001</v>
      </c>
      <c r="W336" s="44">
        <v>5.1000000000000004E-3</v>
      </c>
    </row>
    <row r="337" spans="1:23" x14ac:dyDescent="0.25">
      <c r="A337" s="80">
        <v>3</v>
      </c>
      <c r="B337" s="81" t="s">
        <v>17</v>
      </c>
      <c r="C337" s="82" t="s">
        <v>375</v>
      </c>
      <c r="D337" s="51">
        <v>0</v>
      </c>
      <c r="E337" s="92">
        <v>71.400000000000006</v>
      </c>
      <c r="F337" s="92">
        <v>41.36</v>
      </c>
      <c r="G337" s="92">
        <v>77.040000000000006</v>
      </c>
      <c r="H337" s="92">
        <v>24.5</v>
      </c>
      <c r="I337" s="92">
        <f t="shared" si="13"/>
        <v>23.02</v>
      </c>
      <c r="J337" s="92">
        <f t="shared" si="12"/>
        <v>13.64</v>
      </c>
      <c r="K337" s="58">
        <v>19</v>
      </c>
      <c r="L337" s="58">
        <v>44</v>
      </c>
      <c r="M337" s="58">
        <v>937</v>
      </c>
      <c r="N337" s="101">
        <v>1.53</v>
      </c>
      <c r="O337" s="33">
        <v>2</v>
      </c>
      <c r="P337" s="105">
        <v>2.5999999999999999E-3</v>
      </c>
      <c r="Q337" s="113">
        <v>0.98</v>
      </c>
      <c r="R337" s="105">
        <v>3.1E-2</v>
      </c>
      <c r="S337" s="109">
        <v>13.92</v>
      </c>
      <c r="T337" s="109">
        <v>1263.5</v>
      </c>
      <c r="U337" s="109">
        <v>3491.91</v>
      </c>
      <c r="V337" s="43">
        <v>1.0495000000000001</v>
      </c>
      <c r="W337" s="44">
        <v>5.1000000000000004E-3</v>
      </c>
    </row>
    <row r="338" spans="1:23" x14ac:dyDescent="0.25">
      <c r="A338" s="80">
        <v>3</v>
      </c>
      <c r="B338" s="81" t="s">
        <v>17</v>
      </c>
      <c r="C338" s="82" t="s">
        <v>376</v>
      </c>
      <c r="D338" s="51">
        <v>0</v>
      </c>
      <c r="E338" s="92">
        <v>71.400000000000006</v>
      </c>
      <c r="F338" s="92">
        <v>41.36</v>
      </c>
      <c r="G338" s="92">
        <v>76.92</v>
      </c>
      <c r="H338" s="92">
        <v>24.5</v>
      </c>
      <c r="I338" s="92">
        <f t="shared" si="13"/>
        <v>22.53</v>
      </c>
      <c r="J338" s="92">
        <f t="shared" si="12"/>
        <v>13.35</v>
      </c>
      <c r="K338" s="58">
        <v>19</v>
      </c>
      <c r="L338" s="58">
        <v>44</v>
      </c>
      <c r="M338" s="58">
        <v>937</v>
      </c>
      <c r="N338" s="101">
        <v>1.53</v>
      </c>
      <c r="O338" s="33">
        <v>2</v>
      </c>
      <c r="P338" s="105">
        <v>2.5000000000000001E-3</v>
      </c>
      <c r="Q338" s="113">
        <v>1</v>
      </c>
      <c r="R338" s="105">
        <v>2.4299999999999999E-2</v>
      </c>
      <c r="S338" s="109">
        <v>13.92</v>
      </c>
      <c r="T338" s="109">
        <v>1263.5</v>
      </c>
      <c r="U338" s="109">
        <v>3491.91</v>
      </c>
      <c r="V338" s="43">
        <v>1.0495000000000001</v>
      </c>
      <c r="W338" s="44">
        <v>5.1000000000000004E-3</v>
      </c>
    </row>
    <row r="339" spans="1:23" x14ac:dyDescent="0.25">
      <c r="A339" s="80">
        <v>3</v>
      </c>
      <c r="B339" s="81" t="s">
        <v>17</v>
      </c>
      <c r="C339" s="82" t="s">
        <v>377</v>
      </c>
      <c r="D339" s="51">
        <v>0</v>
      </c>
      <c r="E339" s="92">
        <v>71.400000000000006</v>
      </c>
      <c r="F339" s="92">
        <v>41.36</v>
      </c>
      <c r="G339" s="92">
        <v>76.790000000000006</v>
      </c>
      <c r="H339" s="92">
        <v>24.5</v>
      </c>
      <c r="I339" s="92">
        <f t="shared" si="13"/>
        <v>22</v>
      </c>
      <c r="J339" s="92">
        <f t="shared" si="12"/>
        <v>13.03</v>
      </c>
      <c r="K339" s="58">
        <v>19</v>
      </c>
      <c r="L339" s="58">
        <v>44</v>
      </c>
      <c r="M339" s="58">
        <v>937</v>
      </c>
      <c r="N339" s="101">
        <v>1.53</v>
      </c>
      <c r="O339" s="33">
        <v>2</v>
      </c>
      <c r="P339" s="105">
        <v>2.5999999999999999E-3</v>
      </c>
      <c r="Q339" s="113">
        <v>0.95</v>
      </c>
      <c r="R339" s="105">
        <v>3.9600000000000003E-2</v>
      </c>
      <c r="S339" s="109">
        <v>13.92</v>
      </c>
      <c r="T339" s="109">
        <v>1263.5</v>
      </c>
      <c r="U339" s="109">
        <v>3491.91</v>
      </c>
      <c r="V339" s="43">
        <v>1.0495000000000001</v>
      </c>
      <c r="W339" s="44">
        <v>5.1000000000000004E-3</v>
      </c>
    </row>
    <row r="340" spans="1:23" x14ac:dyDescent="0.25">
      <c r="A340" s="80">
        <v>3</v>
      </c>
      <c r="B340" s="81" t="s">
        <v>17</v>
      </c>
      <c r="C340" s="82" t="s">
        <v>378</v>
      </c>
      <c r="D340" s="51">
        <v>0</v>
      </c>
      <c r="E340" s="92">
        <v>71.400000000000006</v>
      </c>
      <c r="F340" s="92">
        <v>41.36</v>
      </c>
      <c r="G340" s="92">
        <v>76.67</v>
      </c>
      <c r="H340" s="92">
        <v>24.5</v>
      </c>
      <c r="I340" s="92">
        <f t="shared" si="13"/>
        <v>21.51</v>
      </c>
      <c r="J340" s="92">
        <f t="shared" si="12"/>
        <v>12.74</v>
      </c>
      <c r="K340" s="58">
        <v>19</v>
      </c>
      <c r="L340" s="58">
        <v>44</v>
      </c>
      <c r="M340" s="58">
        <v>937</v>
      </c>
      <c r="N340" s="101">
        <v>1.53</v>
      </c>
      <c r="O340" s="33">
        <v>2</v>
      </c>
      <c r="P340" s="105">
        <v>2.5999999999999999E-3</v>
      </c>
      <c r="Q340" s="113">
        <v>0.95</v>
      </c>
      <c r="R340" s="105">
        <v>3.4700000000000002E-2</v>
      </c>
      <c r="S340" s="109">
        <v>13.92</v>
      </c>
      <c r="T340" s="109">
        <v>1263.5</v>
      </c>
      <c r="U340" s="109">
        <v>3491.91</v>
      </c>
      <c r="V340" s="43">
        <v>1.0495000000000001</v>
      </c>
      <c r="W340" s="44">
        <v>5.1000000000000004E-3</v>
      </c>
    </row>
    <row r="341" spans="1:23" x14ac:dyDescent="0.25">
      <c r="A341" s="80">
        <v>3</v>
      </c>
      <c r="B341" s="81" t="s">
        <v>17</v>
      </c>
      <c r="C341" s="82" t="s">
        <v>379</v>
      </c>
      <c r="D341" s="51">
        <v>0</v>
      </c>
      <c r="E341" s="92">
        <v>71.400000000000006</v>
      </c>
      <c r="F341" s="92">
        <v>41.36</v>
      </c>
      <c r="G341" s="92">
        <v>76.55</v>
      </c>
      <c r="H341" s="92">
        <v>24.5</v>
      </c>
      <c r="I341" s="92">
        <f t="shared" si="13"/>
        <v>21.02</v>
      </c>
      <c r="J341" s="92">
        <f t="shared" si="12"/>
        <v>12.45</v>
      </c>
      <c r="K341" s="58">
        <v>19</v>
      </c>
      <c r="L341" s="58">
        <v>44</v>
      </c>
      <c r="M341" s="58">
        <v>937</v>
      </c>
      <c r="N341" s="101">
        <v>1.53</v>
      </c>
      <c r="O341" s="33">
        <v>2</v>
      </c>
      <c r="P341" s="105">
        <v>2.5000000000000001E-3</v>
      </c>
      <c r="Q341" s="113">
        <v>0.95</v>
      </c>
      <c r="R341" s="105">
        <v>3.5999999999999997E-2</v>
      </c>
      <c r="S341" s="109">
        <v>13.92</v>
      </c>
      <c r="T341" s="109">
        <v>1263.5</v>
      </c>
      <c r="U341" s="109">
        <v>3491.91</v>
      </c>
      <c r="V341" s="43">
        <v>1.0495000000000001</v>
      </c>
      <c r="W341" s="44">
        <v>5.1000000000000004E-3</v>
      </c>
    </row>
    <row r="342" spans="1:23" x14ac:dyDescent="0.25">
      <c r="A342" s="80">
        <v>3</v>
      </c>
      <c r="B342" s="81" t="s">
        <v>17</v>
      </c>
      <c r="C342" s="82" t="s">
        <v>380</v>
      </c>
      <c r="D342" s="51">
        <v>0</v>
      </c>
      <c r="E342" s="92">
        <v>71.400000000000006</v>
      </c>
      <c r="F342" s="92">
        <v>41.36</v>
      </c>
      <c r="G342" s="92">
        <v>76.42</v>
      </c>
      <c r="H342" s="92">
        <v>24.5</v>
      </c>
      <c r="I342" s="92">
        <f t="shared" si="13"/>
        <v>20.49</v>
      </c>
      <c r="J342" s="92">
        <f t="shared" si="12"/>
        <v>12.14</v>
      </c>
      <c r="K342" s="58">
        <v>19</v>
      </c>
      <c r="L342" s="58">
        <v>44</v>
      </c>
      <c r="M342" s="58">
        <v>937</v>
      </c>
      <c r="N342" s="101">
        <v>1.53</v>
      </c>
      <c r="O342" s="33">
        <v>2</v>
      </c>
      <c r="P342" s="105">
        <v>2.3999999999999998E-3</v>
      </c>
      <c r="Q342" s="113">
        <v>0.95</v>
      </c>
      <c r="R342" s="105">
        <v>3.5499999999999997E-2</v>
      </c>
      <c r="S342" s="109">
        <v>13.92</v>
      </c>
      <c r="T342" s="109">
        <v>1263.5</v>
      </c>
      <c r="U342" s="109">
        <v>3491.91</v>
      </c>
      <c r="V342" s="43">
        <v>1.0495000000000001</v>
      </c>
      <c r="W342" s="44">
        <v>5.1000000000000004E-3</v>
      </c>
    </row>
    <row r="343" spans="1:23" x14ac:dyDescent="0.25">
      <c r="A343" s="80">
        <v>3</v>
      </c>
      <c r="B343" s="81" t="s">
        <v>17</v>
      </c>
      <c r="C343" s="82" t="s">
        <v>381</v>
      </c>
      <c r="D343" s="51">
        <v>0</v>
      </c>
      <c r="E343" s="92">
        <v>71.400000000000006</v>
      </c>
      <c r="F343" s="92">
        <v>41.36</v>
      </c>
      <c r="G343" s="92">
        <v>76.290000000000006</v>
      </c>
      <c r="H343" s="92">
        <v>24.5</v>
      </c>
      <c r="I343" s="92">
        <f t="shared" si="13"/>
        <v>19.96</v>
      </c>
      <c r="J343" s="92">
        <f t="shared" si="12"/>
        <v>11.82</v>
      </c>
      <c r="K343" s="58">
        <v>19</v>
      </c>
      <c r="L343" s="58">
        <v>44</v>
      </c>
      <c r="M343" s="58">
        <v>937</v>
      </c>
      <c r="N343" s="101">
        <v>1.53</v>
      </c>
      <c r="O343" s="33">
        <v>2</v>
      </c>
      <c r="P343" s="105">
        <v>2.8E-3</v>
      </c>
      <c r="Q343" s="113">
        <v>0.88</v>
      </c>
      <c r="R343" s="105">
        <v>5.5E-2</v>
      </c>
      <c r="S343" s="109">
        <v>13.92</v>
      </c>
      <c r="T343" s="109">
        <v>1263.5</v>
      </c>
      <c r="U343" s="109">
        <v>3491.91</v>
      </c>
      <c r="V343" s="43">
        <v>1.0495000000000001</v>
      </c>
      <c r="W343" s="44">
        <v>5.1000000000000004E-3</v>
      </c>
    </row>
    <row r="344" spans="1:23" x14ac:dyDescent="0.25">
      <c r="A344" s="80">
        <v>3</v>
      </c>
      <c r="B344" s="81" t="s">
        <v>17</v>
      </c>
      <c r="C344" s="82" t="s">
        <v>382</v>
      </c>
      <c r="D344" s="51">
        <v>0</v>
      </c>
      <c r="E344" s="92">
        <v>71.400000000000006</v>
      </c>
      <c r="F344" s="92">
        <v>41.36</v>
      </c>
      <c r="G344" s="92">
        <v>76.17</v>
      </c>
      <c r="H344" s="92">
        <v>24.5</v>
      </c>
      <c r="I344" s="92">
        <f t="shared" si="13"/>
        <v>19.47</v>
      </c>
      <c r="J344" s="92">
        <f t="shared" si="12"/>
        <v>11.53</v>
      </c>
      <c r="K344" s="58">
        <v>19</v>
      </c>
      <c r="L344" s="58">
        <v>44</v>
      </c>
      <c r="M344" s="58">
        <v>937</v>
      </c>
      <c r="N344" s="101">
        <v>1.53</v>
      </c>
      <c r="O344" s="33">
        <v>2</v>
      </c>
      <c r="P344" s="105">
        <v>2.3E-3</v>
      </c>
      <c r="Q344" s="113">
        <v>0.95</v>
      </c>
      <c r="R344" s="105">
        <v>3.1399999999999997E-2</v>
      </c>
      <c r="S344" s="109">
        <v>13.92</v>
      </c>
      <c r="T344" s="109">
        <v>1263.5</v>
      </c>
      <c r="U344" s="109">
        <v>3491.91</v>
      </c>
      <c r="V344" s="43">
        <v>1.0495000000000001</v>
      </c>
      <c r="W344" s="44">
        <v>5.1000000000000004E-3</v>
      </c>
    </row>
    <row r="345" spans="1:23" x14ac:dyDescent="0.25">
      <c r="A345" s="80">
        <v>3</v>
      </c>
      <c r="B345" s="81" t="s">
        <v>17</v>
      </c>
      <c r="C345" s="82" t="s">
        <v>383</v>
      </c>
      <c r="D345" s="51">
        <v>0</v>
      </c>
      <c r="E345" s="92">
        <v>71.400000000000006</v>
      </c>
      <c r="F345" s="92">
        <v>41.36</v>
      </c>
      <c r="G345" s="92">
        <v>76.05</v>
      </c>
      <c r="H345" s="92">
        <v>24.5</v>
      </c>
      <c r="I345" s="92">
        <f t="shared" si="13"/>
        <v>18.98</v>
      </c>
      <c r="J345" s="92">
        <f t="shared" si="12"/>
        <v>11.24</v>
      </c>
      <c r="K345" s="58">
        <v>19</v>
      </c>
      <c r="L345" s="58">
        <v>44</v>
      </c>
      <c r="M345" s="58">
        <v>937</v>
      </c>
      <c r="N345" s="101">
        <v>1.53</v>
      </c>
      <c r="O345" s="33">
        <v>2</v>
      </c>
      <c r="P345" s="105">
        <v>2.3999999999999998E-3</v>
      </c>
      <c r="Q345" s="113">
        <v>0.94</v>
      </c>
      <c r="R345" s="105">
        <v>0.03</v>
      </c>
      <c r="S345" s="109">
        <v>13.92</v>
      </c>
      <c r="T345" s="109">
        <v>1263.5</v>
      </c>
      <c r="U345" s="109">
        <v>3491.91</v>
      </c>
      <c r="V345" s="43">
        <v>1.0495000000000001</v>
      </c>
      <c r="W345" s="44">
        <v>5.1000000000000004E-3</v>
      </c>
    </row>
    <row r="346" spans="1:23" x14ac:dyDescent="0.25">
      <c r="A346" s="80">
        <v>3</v>
      </c>
      <c r="B346" s="81" t="s">
        <v>17</v>
      </c>
      <c r="C346" s="82" t="s">
        <v>384</v>
      </c>
      <c r="D346" s="51">
        <v>0</v>
      </c>
      <c r="E346" s="92">
        <v>71.400000000000006</v>
      </c>
      <c r="F346" s="92">
        <v>41.36</v>
      </c>
      <c r="G346" s="92">
        <v>75.92</v>
      </c>
      <c r="H346" s="92">
        <v>24.5</v>
      </c>
      <c r="I346" s="92">
        <f t="shared" si="13"/>
        <v>18.45</v>
      </c>
      <c r="J346" s="92">
        <f t="shared" si="12"/>
        <v>10.93</v>
      </c>
      <c r="K346" s="58">
        <v>19</v>
      </c>
      <c r="L346" s="58">
        <v>44</v>
      </c>
      <c r="M346" s="58">
        <v>937</v>
      </c>
      <c r="N346" s="101">
        <v>1.53</v>
      </c>
      <c r="O346" s="33">
        <v>2</v>
      </c>
      <c r="P346" s="105">
        <v>2.3999999999999998E-3</v>
      </c>
      <c r="Q346" s="113">
        <v>0.94</v>
      </c>
      <c r="R346" s="105">
        <v>2.69E-2</v>
      </c>
      <c r="S346" s="109">
        <v>13.92</v>
      </c>
      <c r="T346" s="109">
        <v>1263.5</v>
      </c>
      <c r="U346" s="109">
        <v>3491.91</v>
      </c>
      <c r="V346" s="43">
        <v>1.0495000000000001</v>
      </c>
      <c r="W346" s="44">
        <v>5.1000000000000004E-3</v>
      </c>
    </row>
    <row r="347" spans="1:23" x14ac:dyDescent="0.25">
      <c r="A347" s="80">
        <v>3</v>
      </c>
      <c r="B347" s="81" t="s">
        <v>17</v>
      </c>
      <c r="C347" s="82" t="s">
        <v>385</v>
      </c>
      <c r="D347" s="51">
        <v>0</v>
      </c>
      <c r="E347" s="92">
        <v>71.400000000000006</v>
      </c>
      <c r="F347" s="92">
        <v>41.36</v>
      </c>
      <c r="G347" s="92">
        <v>75.8</v>
      </c>
      <c r="H347" s="92">
        <v>24.5</v>
      </c>
      <c r="I347" s="92">
        <f t="shared" si="13"/>
        <v>17.96</v>
      </c>
      <c r="J347" s="92">
        <f t="shared" si="12"/>
        <v>10.64</v>
      </c>
      <c r="K347" s="58">
        <v>19</v>
      </c>
      <c r="L347" s="58">
        <v>44</v>
      </c>
      <c r="M347" s="58">
        <v>937</v>
      </c>
      <c r="N347" s="101">
        <v>1.53</v>
      </c>
      <c r="O347" s="33">
        <v>2</v>
      </c>
      <c r="P347" s="105">
        <v>2.2000000000000001E-3</v>
      </c>
      <c r="Q347" s="113">
        <v>0.94</v>
      </c>
      <c r="R347" s="105">
        <v>2.8500000000000001E-2</v>
      </c>
      <c r="S347" s="109">
        <v>13.92</v>
      </c>
      <c r="T347" s="109">
        <v>1263.5</v>
      </c>
      <c r="U347" s="109">
        <v>3491.91</v>
      </c>
      <c r="V347" s="43">
        <v>1.0495000000000001</v>
      </c>
      <c r="W347" s="44">
        <v>5.1000000000000004E-3</v>
      </c>
    </row>
    <row r="348" spans="1:23" x14ac:dyDescent="0.25">
      <c r="A348" s="80">
        <v>3</v>
      </c>
      <c r="B348" s="81" t="s">
        <v>17</v>
      </c>
      <c r="C348" s="82" t="s">
        <v>386</v>
      </c>
      <c r="D348" s="51">
        <v>0</v>
      </c>
      <c r="E348" s="92">
        <v>71.400000000000006</v>
      </c>
      <c r="F348" s="92">
        <v>41.36</v>
      </c>
      <c r="G348" s="92">
        <v>75.680000000000007</v>
      </c>
      <c r="H348" s="92">
        <v>24.5</v>
      </c>
      <c r="I348" s="92">
        <f t="shared" si="13"/>
        <v>17.47</v>
      </c>
      <c r="J348" s="92">
        <f t="shared" si="12"/>
        <v>10.35</v>
      </c>
      <c r="K348" s="58">
        <v>19</v>
      </c>
      <c r="L348" s="58">
        <v>44</v>
      </c>
      <c r="M348" s="58">
        <v>937</v>
      </c>
      <c r="N348" s="101">
        <v>1.53</v>
      </c>
      <c r="O348" s="33">
        <v>2</v>
      </c>
      <c r="P348" s="105">
        <v>3.2000000000000002E-3</v>
      </c>
      <c r="Q348" s="113">
        <v>0.78</v>
      </c>
      <c r="R348" s="105">
        <v>7.8799999999999995E-2</v>
      </c>
      <c r="S348" s="109">
        <v>13.92</v>
      </c>
      <c r="T348" s="109">
        <v>1263.5</v>
      </c>
      <c r="U348" s="109">
        <v>3491.91</v>
      </c>
      <c r="V348" s="43">
        <v>1.0495000000000001</v>
      </c>
      <c r="W348" s="44">
        <v>5.1000000000000004E-3</v>
      </c>
    </row>
    <row r="349" spans="1:23" x14ac:dyDescent="0.25">
      <c r="A349" s="80">
        <v>3</v>
      </c>
      <c r="B349" s="81" t="s">
        <v>17</v>
      </c>
      <c r="C349" s="82" t="s">
        <v>387</v>
      </c>
      <c r="D349" s="51">
        <v>0</v>
      </c>
      <c r="E349" s="92">
        <v>71.400000000000006</v>
      </c>
      <c r="F349" s="92">
        <v>41.36</v>
      </c>
      <c r="G349" s="92">
        <v>75.55</v>
      </c>
      <c r="H349" s="92">
        <v>24.5</v>
      </c>
      <c r="I349" s="92">
        <f t="shared" si="13"/>
        <v>16.940000000000001</v>
      </c>
      <c r="J349" s="92">
        <f t="shared" si="12"/>
        <v>10.029999999999999</v>
      </c>
      <c r="K349" s="58">
        <v>19</v>
      </c>
      <c r="L349" s="58">
        <v>44</v>
      </c>
      <c r="M349" s="58">
        <v>937</v>
      </c>
      <c r="N349" s="101">
        <v>1.53</v>
      </c>
      <c r="O349" s="33">
        <v>2</v>
      </c>
      <c r="P349" s="105">
        <v>3.0999999999999999E-3</v>
      </c>
      <c r="Q349" s="113">
        <v>0.8</v>
      </c>
      <c r="R349" s="105">
        <v>6.7500000000000004E-2</v>
      </c>
      <c r="S349" s="109">
        <v>13.92</v>
      </c>
      <c r="T349" s="109">
        <v>1263.5</v>
      </c>
      <c r="U349" s="109">
        <v>3491.91</v>
      </c>
      <c r="V349" s="43">
        <v>1.0495000000000001</v>
      </c>
      <c r="W349" s="44">
        <v>5.1000000000000004E-3</v>
      </c>
    </row>
    <row r="350" spans="1:23" x14ac:dyDescent="0.25">
      <c r="A350" s="80">
        <v>3</v>
      </c>
      <c r="B350" s="81" t="s">
        <v>17</v>
      </c>
      <c r="C350" s="82" t="s">
        <v>388</v>
      </c>
      <c r="D350" s="51">
        <v>0</v>
      </c>
      <c r="E350" s="92">
        <v>71.400000000000006</v>
      </c>
      <c r="F350" s="92">
        <v>41.36</v>
      </c>
      <c r="G350" s="92">
        <v>75.430000000000007</v>
      </c>
      <c r="H350" s="92">
        <v>24.5</v>
      </c>
      <c r="I350" s="92">
        <f t="shared" si="13"/>
        <v>16.45</v>
      </c>
      <c r="J350" s="92">
        <f t="shared" si="12"/>
        <v>9.74</v>
      </c>
      <c r="K350" s="58">
        <v>19</v>
      </c>
      <c r="L350" s="58">
        <v>44</v>
      </c>
      <c r="M350" s="58">
        <v>937</v>
      </c>
      <c r="N350" s="101">
        <v>1.53</v>
      </c>
      <c r="O350" s="33">
        <v>2</v>
      </c>
      <c r="P350" s="105">
        <v>1.3899999999999999E-2</v>
      </c>
      <c r="Q350" s="113">
        <v>0.44</v>
      </c>
      <c r="R350" s="105">
        <v>0.1154</v>
      </c>
      <c r="S350" s="109">
        <v>13.92</v>
      </c>
      <c r="T350" s="109">
        <v>1263.5</v>
      </c>
      <c r="U350" s="109">
        <v>3491.91</v>
      </c>
      <c r="V350" s="43">
        <v>1.0495000000000001</v>
      </c>
      <c r="W350" s="44">
        <v>5.1000000000000004E-3</v>
      </c>
    </row>
    <row r="351" spans="1:23" x14ac:dyDescent="0.25">
      <c r="A351" s="80">
        <v>3</v>
      </c>
      <c r="B351" s="81" t="s">
        <v>17</v>
      </c>
      <c r="C351" s="82" t="s">
        <v>389</v>
      </c>
      <c r="D351" s="51">
        <v>0</v>
      </c>
      <c r="E351" s="92">
        <v>71.400000000000006</v>
      </c>
      <c r="F351" s="92">
        <v>41.36</v>
      </c>
      <c r="G351" s="92">
        <v>75.31</v>
      </c>
      <c r="H351" s="92">
        <v>24.5</v>
      </c>
      <c r="I351" s="92">
        <f t="shared" si="13"/>
        <v>15.96</v>
      </c>
      <c r="J351" s="92">
        <f t="shared" si="12"/>
        <v>9.4499999999999993</v>
      </c>
      <c r="K351" s="58">
        <v>19</v>
      </c>
      <c r="L351" s="58">
        <v>44</v>
      </c>
      <c r="M351" s="58">
        <v>937</v>
      </c>
      <c r="N351" s="101">
        <v>1.53</v>
      </c>
      <c r="O351" s="33">
        <v>2</v>
      </c>
      <c r="P351" s="105">
        <v>3.7000000000000002E-3</v>
      </c>
      <c r="Q351" s="113">
        <v>0.71</v>
      </c>
      <c r="R351" s="105">
        <v>9.69E-2</v>
      </c>
      <c r="S351" s="109">
        <v>13.92</v>
      </c>
      <c r="T351" s="109">
        <v>1263.5</v>
      </c>
      <c r="U351" s="109">
        <v>3491.91</v>
      </c>
      <c r="V351" s="43">
        <v>1.0495000000000001</v>
      </c>
      <c r="W351" s="44">
        <v>5.1000000000000004E-3</v>
      </c>
    </row>
    <row r="352" spans="1:23" x14ac:dyDescent="0.25">
      <c r="A352" s="80">
        <v>3</v>
      </c>
      <c r="B352" s="81" t="s">
        <v>17</v>
      </c>
      <c r="C352" s="82" t="s">
        <v>390</v>
      </c>
      <c r="D352" s="51">
        <v>0</v>
      </c>
      <c r="E352" s="92">
        <v>71.400000000000006</v>
      </c>
      <c r="F352" s="92">
        <v>41.36</v>
      </c>
      <c r="G352" s="92">
        <v>75.19</v>
      </c>
      <c r="H352" s="92">
        <v>24.5</v>
      </c>
      <c r="I352" s="92">
        <f t="shared" si="13"/>
        <v>15.47</v>
      </c>
      <c r="J352" s="92">
        <f t="shared" si="12"/>
        <v>9.16</v>
      </c>
      <c r="K352" s="58">
        <v>19</v>
      </c>
      <c r="L352" s="58">
        <v>44</v>
      </c>
      <c r="M352" s="58">
        <v>937</v>
      </c>
      <c r="N352" s="101">
        <v>1.53</v>
      </c>
      <c r="O352" s="33">
        <v>2</v>
      </c>
      <c r="P352" s="105">
        <v>1.54E-2</v>
      </c>
      <c r="Q352" s="113">
        <v>0.42</v>
      </c>
      <c r="R352" s="105">
        <v>0.1198</v>
      </c>
      <c r="S352" s="109">
        <v>13.92</v>
      </c>
      <c r="T352" s="109">
        <v>1263.5</v>
      </c>
      <c r="U352" s="109">
        <v>3491.91</v>
      </c>
      <c r="V352" s="43">
        <v>1.0495000000000001</v>
      </c>
      <c r="W352" s="44">
        <v>5.1000000000000004E-3</v>
      </c>
    </row>
    <row r="353" spans="1:23" x14ac:dyDescent="0.25">
      <c r="A353" s="80">
        <v>3</v>
      </c>
      <c r="B353" s="81" t="s">
        <v>17</v>
      </c>
      <c r="C353" s="82" t="s">
        <v>391</v>
      </c>
      <c r="D353" s="51">
        <v>0</v>
      </c>
      <c r="E353" s="92">
        <v>71.400000000000006</v>
      </c>
      <c r="F353" s="92">
        <v>41.36</v>
      </c>
      <c r="G353" s="92">
        <v>75.069999999999993</v>
      </c>
      <c r="H353" s="92">
        <v>24.5</v>
      </c>
      <c r="I353" s="92">
        <f t="shared" si="13"/>
        <v>14.98</v>
      </c>
      <c r="J353" s="92">
        <f t="shared" si="12"/>
        <v>8.8699999999999992</v>
      </c>
      <c r="K353" s="58">
        <v>19</v>
      </c>
      <c r="L353" s="58">
        <v>44</v>
      </c>
      <c r="M353" s="58">
        <v>937</v>
      </c>
      <c r="N353" s="101">
        <v>1.53</v>
      </c>
      <c r="O353" s="33">
        <v>2</v>
      </c>
      <c r="P353" s="105">
        <v>1.29E-2</v>
      </c>
      <c r="Q353" s="113">
        <v>0.42</v>
      </c>
      <c r="R353" s="105">
        <v>0.1308</v>
      </c>
      <c r="S353" s="109">
        <v>13.92</v>
      </c>
      <c r="T353" s="109">
        <v>1263.5</v>
      </c>
      <c r="U353" s="109">
        <v>3491.91</v>
      </c>
      <c r="V353" s="43">
        <v>1.0495000000000001</v>
      </c>
      <c r="W353" s="44">
        <v>5.1000000000000004E-3</v>
      </c>
    </row>
    <row r="354" spans="1:23" x14ac:dyDescent="0.25">
      <c r="A354" s="80">
        <v>3</v>
      </c>
      <c r="B354" s="81" t="s">
        <v>17</v>
      </c>
      <c r="C354" s="82" t="s">
        <v>392</v>
      </c>
      <c r="D354" s="51">
        <v>0</v>
      </c>
      <c r="E354" s="92">
        <v>71.400000000000006</v>
      </c>
      <c r="F354" s="92">
        <v>41.36</v>
      </c>
      <c r="G354" s="92">
        <v>74.95</v>
      </c>
      <c r="H354" s="92">
        <v>24.5</v>
      </c>
      <c r="I354" s="92">
        <f t="shared" si="13"/>
        <v>14.49</v>
      </c>
      <c r="J354" s="92">
        <f t="shared" si="12"/>
        <v>8.58</v>
      </c>
      <c r="K354" s="58">
        <v>19</v>
      </c>
      <c r="L354" s="58">
        <v>44</v>
      </c>
      <c r="M354" s="58">
        <v>937</v>
      </c>
      <c r="N354" s="101">
        <v>1.53</v>
      </c>
      <c r="O354" s="33">
        <v>2</v>
      </c>
      <c r="P354" s="105">
        <v>1.15E-2</v>
      </c>
      <c r="Q354" s="113">
        <v>0.44</v>
      </c>
      <c r="R354" s="105">
        <v>0.12709999999999999</v>
      </c>
      <c r="S354" s="109">
        <v>13.92</v>
      </c>
      <c r="T354" s="109">
        <v>1263.5</v>
      </c>
      <c r="U354" s="109">
        <v>3491.91</v>
      </c>
      <c r="V354" s="43">
        <v>1.0495000000000001</v>
      </c>
      <c r="W354" s="44">
        <v>5.1000000000000004E-3</v>
      </c>
    </row>
    <row r="355" spans="1:23" x14ac:dyDescent="0.25">
      <c r="A355" s="80">
        <v>3</v>
      </c>
      <c r="B355" s="81" t="s">
        <v>17</v>
      </c>
      <c r="C355" s="82" t="s">
        <v>393</v>
      </c>
      <c r="D355" s="51">
        <v>0</v>
      </c>
      <c r="E355" s="92">
        <v>71.400000000000006</v>
      </c>
      <c r="F355" s="92">
        <v>41.36</v>
      </c>
      <c r="G355" s="92">
        <v>74.819999999999993</v>
      </c>
      <c r="H355" s="92">
        <v>24.5</v>
      </c>
      <c r="I355" s="92">
        <f t="shared" si="13"/>
        <v>13.96</v>
      </c>
      <c r="J355" s="92">
        <f t="shared" si="12"/>
        <v>8.27</v>
      </c>
      <c r="K355" s="58">
        <v>19</v>
      </c>
      <c r="L355" s="58">
        <v>44</v>
      </c>
      <c r="M355" s="58">
        <v>937</v>
      </c>
      <c r="N355" s="101">
        <v>1.53</v>
      </c>
      <c r="O355" s="33">
        <v>2</v>
      </c>
      <c r="P355" s="105">
        <v>1.11E-2</v>
      </c>
      <c r="Q355" s="113">
        <v>0.44</v>
      </c>
      <c r="R355" s="105">
        <v>0.13039999999999999</v>
      </c>
      <c r="S355" s="109">
        <v>13.92</v>
      </c>
      <c r="T355" s="109">
        <v>1263.5</v>
      </c>
      <c r="U355" s="109">
        <v>3491.91</v>
      </c>
      <c r="V355" s="43">
        <v>1.0495000000000001</v>
      </c>
      <c r="W355" s="44">
        <v>5.1000000000000004E-3</v>
      </c>
    </row>
    <row r="356" spans="1:23" x14ac:dyDescent="0.25">
      <c r="A356" s="80">
        <v>3</v>
      </c>
      <c r="B356" s="81" t="s">
        <v>17</v>
      </c>
      <c r="C356" s="82" t="s">
        <v>394</v>
      </c>
      <c r="D356" s="51">
        <v>0</v>
      </c>
      <c r="E356" s="92">
        <v>71.400000000000006</v>
      </c>
      <c r="F356" s="92">
        <v>41.36</v>
      </c>
      <c r="G356" s="92">
        <v>74.69</v>
      </c>
      <c r="H356" s="92">
        <v>24.5</v>
      </c>
      <c r="I356" s="92">
        <f t="shared" si="13"/>
        <v>13.43</v>
      </c>
      <c r="J356" s="92">
        <f t="shared" si="12"/>
        <v>7.95</v>
      </c>
      <c r="K356" s="58">
        <v>19</v>
      </c>
      <c r="L356" s="58">
        <v>44</v>
      </c>
      <c r="M356" s="58">
        <v>937</v>
      </c>
      <c r="N356" s="101">
        <v>1.53</v>
      </c>
      <c r="O356" s="33">
        <v>2</v>
      </c>
      <c r="P356" s="105">
        <v>1.0800000000000001E-2</v>
      </c>
      <c r="Q356" s="113">
        <v>0.43</v>
      </c>
      <c r="R356" s="105">
        <v>0.1431</v>
      </c>
      <c r="S356" s="109">
        <v>13.92</v>
      </c>
      <c r="T356" s="109">
        <v>1263.5</v>
      </c>
      <c r="U356" s="109">
        <v>3491.91</v>
      </c>
      <c r="V356" s="43">
        <v>1.0495000000000001</v>
      </c>
      <c r="W356" s="44">
        <v>5.1000000000000004E-3</v>
      </c>
    </row>
    <row r="357" spans="1:23" x14ac:dyDescent="0.25">
      <c r="A357" s="80">
        <v>3</v>
      </c>
      <c r="B357" s="81" t="s">
        <v>17</v>
      </c>
      <c r="C357" s="82" t="s">
        <v>395</v>
      </c>
      <c r="D357" s="51">
        <v>0</v>
      </c>
      <c r="E357" s="92">
        <v>71.400000000000006</v>
      </c>
      <c r="F357" s="92">
        <v>41.36</v>
      </c>
      <c r="G357" s="92">
        <v>74.58</v>
      </c>
      <c r="H357" s="92">
        <v>24.5</v>
      </c>
      <c r="I357" s="92">
        <f t="shared" si="13"/>
        <v>12.98</v>
      </c>
      <c r="J357" s="92">
        <f t="shared" si="12"/>
        <v>7.69</v>
      </c>
      <c r="K357" s="58">
        <v>19</v>
      </c>
      <c r="L357" s="58">
        <v>44</v>
      </c>
      <c r="M357" s="58">
        <v>937</v>
      </c>
      <c r="N357" s="101">
        <v>1.53</v>
      </c>
      <c r="O357" s="33">
        <v>2</v>
      </c>
      <c r="P357" s="105">
        <v>9.9000000000000008E-3</v>
      </c>
      <c r="Q357" s="113">
        <v>0.44</v>
      </c>
      <c r="R357" s="105">
        <v>0.13439999999999999</v>
      </c>
      <c r="S357" s="109">
        <v>13.92</v>
      </c>
      <c r="T357" s="109">
        <v>1263.5</v>
      </c>
      <c r="U357" s="109">
        <v>3491.91</v>
      </c>
      <c r="V357" s="43">
        <v>1.0495000000000001</v>
      </c>
      <c r="W357" s="44">
        <v>5.1000000000000004E-3</v>
      </c>
    </row>
    <row r="358" spans="1:23" x14ac:dyDescent="0.25">
      <c r="A358" s="80">
        <v>3</v>
      </c>
      <c r="B358" s="81" t="s">
        <v>17</v>
      </c>
      <c r="C358" s="82" t="s">
        <v>396</v>
      </c>
      <c r="D358" s="51">
        <v>0</v>
      </c>
      <c r="E358" s="92">
        <v>71.400000000000006</v>
      </c>
      <c r="F358" s="92">
        <v>41.36</v>
      </c>
      <c r="G358" s="92">
        <v>74.45</v>
      </c>
      <c r="H358" s="92">
        <v>24.5</v>
      </c>
      <c r="I358" s="92">
        <f t="shared" si="13"/>
        <v>12.45</v>
      </c>
      <c r="J358" s="92">
        <f t="shared" si="12"/>
        <v>7.37</v>
      </c>
      <c r="K358" s="58">
        <v>19</v>
      </c>
      <c r="L358" s="58">
        <v>44</v>
      </c>
      <c r="M358" s="58">
        <v>937</v>
      </c>
      <c r="N358" s="101">
        <v>1.53</v>
      </c>
      <c r="O358" s="33">
        <v>2</v>
      </c>
      <c r="P358" s="105">
        <v>9.9000000000000008E-3</v>
      </c>
      <c r="Q358" s="113">
        <v>0.44</v>
      </c>
      <c r="R358" s="105">
        <v>0.1368</v>
      </c>
      <c r="S358" s="109">
        <v>13.92</v>
      </c>
      <c r="T358" s="109">
        <v>1263.5</v>
      </c>
      <c r="U358" s="109">
        <v>3491.91</v>
      </c>
      <c r="V358" s="43">
        <v>1.0495000000000001</v>
      </c>
      <c r="W358" s="44">
        <v>5.1000000000000004E-3</v>
      </c>
    </row>
    <row r="359" spans="1:23" x14ac:dyDescent="0.25">
      <c r="A359" s="80">
        <v>3</v>
      </c>
      <c r="B359" s="81" t="s">
        <v>17</v>
      </c>
      <c r="C359" s="82" t="s">
        <v>397</v>
      </c>
      <c r="D359" s="51">
        <v>0</v>
      </c>
      <c r="E359" s="92">
        <v>71.400000000000006</v>
      </c>
      <c r="F359" s="92">
        <v>41.36</v>
      </c>
      <c r="G359" s="92">
        <v>74.33</v>
      </c>
      <c r="H359" s="92">
        <v>24.5</v>
      </c>
      <c r="I359" s="92">
        <f t="shared" si="13"/>
        <v>11.96</v>
      </c>
      <c r="J359" s="92">
        <f t="shared" si="12"/>
        <v>7.08</v>
      </c>
      <c r="K359" s="58">
        <v>19</v>
      </c>
      <c r="L359" s="58">
        <v>44</v>
      </c>
      <c r="M359" s="58">
        <v>937</v>
      </c>
      <c r="N359" s="101">
        <v>1.53</v>
      </c>
      <c r="O359" s="33">
        <v>2</v>
      </c>
      <c r="P359" s="105">
        <v>8.6E-3</v>
      </c>
      <c r="Q359" s="113">
        <v>0.45</v>
      </c>
      <c r="R359" s="105">
        <v>0.14380000000000001</v>
      </c>
      <c r="S359" s="109">
        <v>13.92</v>
      </c>
      <c r="T359" s="109">
        <v>1263.5</v>
      </c>
      <c r="U359" s="109">
        <v>3491.91</v>
      </c>
      <c r="V359" s="43">
        <v>1.0495000000000001</v>
      </c>
      <c r="W359" s="44">
        <v>5.1000000000000004E-3</v>
      </c>
    </row>
    <row r="360" spans="1:23" x14ac:dyDescent="0.25">
      <c r="A360" s="80">
        <v>3</v>
      </c>
      <c r="B360" s="81" t="s">
        <v>17</v>
      </c>
      <c r="C360" s="82" t="s">
        <v>398</v>
      </c>
      <c r="D360" s="51">
        <v>0</v>
      </c>
      <c r="E360" s="92">
        <v>71.400000000000006</v>
      </c>
      <c r="F360" s="92">
        <v>41.36</v>
      </c>
      <c r="G360" s="92">
        <v>74.209999999999994</v>
      </c>
      <c r="H360" s="92">
        <v>24.5</v>
      </c>
      <c r="I360" s="92">
        <f t="shared" si="13"/>
        <v>11.47</v>
      </c>
      <c r="J360" s="92">
        <f t="shared" si="12"/>
        <v>6.79</v>
      </c>
      <c r="K360" s="58">
        <v>19</v>
      </c>
      <c r="L360" s="58">
        <v>44</v>
      </c>
      <c r="M360" s="58">
        <v>937</v>
      </c>
      <c r="N360" s="101">
        <v>1.53</v>
      </c>
      <c r="O360" s="33">
        <v>2</v>
      </c>
      <c r="P360" s="105">
        <v>8.5000000000000006E-3</v>
      </c>
      <c r="Q360" s="113">
        <v>0.44</v>
      </c>
      <c r="R360" s="105">
        <v>0.14810000000000001</v>
      </c>
      <c r="S360" s="109">
        <v>13.92</v>
      </c>
      <c r="T360" s="109">
        <v>1263.5</v>
      </c>
      <c r="U360" s="109">
        <v>3491.91</v>
      </c>
      <c r="V360" s="43">
        <v>1.0495000000000001</v>
      </c>
      <c r="W360" s="44">
        <v>5.1000000000000004E-3</v>
      </c>
    </row>
    <row r="361" spans="1:23" x14ac:dyDescent="0.25">
      <c r="A361" s="80">
        <v>3</v>
      </c>
      <c r="B361" s="81" t="s">
        <v>17</v>
      </c>
      <c r="C361" s="82" t="s">
        <v>399</v>
      </c>
      <c r="D361" s="51">
        <v>0</v>
      </c>
      <c r="E361" s="92">
        <v>71.400000000000006</v>
      </c>
      <c r="F361" s="92">
        <v>41.36</v>
      </c>
      <c r="G361" s="92">
        <v>74.09</v>
      </c>
      <c r="H361" s="92">
        <v>24.5</v>
      </c>
      <c r="I361" s="92">
        <f t="shared" si="13"/>
        <v>10.98</v>
      </c>
      <c r="J361" s="92">
        <f t="shared" si="12"/>
        <v>6.5</v>
      </c>
      <c r="K361" s="58">
        <v>19</v>
      </c>
      <c r="L361" s="58">
        <v>44</v>
      </c>
      <c r="M361" s="58">
        <v>937</v>
      </c>
      <c r="N361" s="101">
        <v>1.53</v>
      </c>
      <c r="O361" s="33">
        <v>2</v>
      </c>
      <c r="P361" s="105">
        <v>8.3999999999999995E-3</v>
      </c>
      <c r="Q361" s="113">
        <v>0.43</v>
      </c>
      <c r="R361" s="105">
        <v>0.14510000000000001</v>
      </c>
      <c r="S361" s="109">
        <v>13.92</v>
      </c>
      <c r="T361" s="109">
        <v>1263.5</v>
      </c>
      <c r="U361" s="109">
        <v>3491.91</v>
      </c>
      <c r="V361" s="43">
        <v>1.0495000000000001</v>
      </c>
      <c r="W361" s="44">
        <v>5.1000000000000004E-3</v>
      </c>
    </row>
    <row r="362" spans="1:23" x14ac:dyDescent="0.25">
      <c r="A362" s="80">
        <v>3</v>
      </c>
      <c r="B362" s="81" t="s">
        <v>17</v>
      </c>
      <c r="C362" s="82" t="s">
        <v>400</v>
      </c>
      <c r="D362" s="51">
        <v>0</v>
      </c>
      <c r="E362" s="92">
        <v>71.400000000000006</v>
      </c>
      <c r="F362" s="92">
        <v>41.36</v>
      </c>
      <c r="G362" s="92">
        <v>73.97</v>
      </c>
      <c r="H362" s="92">
        <v>24.5</v>
      </c>
      <c r="I362" s="92">
        <f t="shared" si="13"/>
        <v>10.49</v>
      </c>
      <c r="J362" s="92">
        <f t="shared" si="12"/>
        <v>6.21</v>
      </c>
      <c r="K362" s="58">
        <v>19</v>
      </c>
      <c r="L362" s="58">
        <v>44</v>
      </c>
      <c r="M362" s="58">
        <v>937</v>
      </c>
      <c r="N362" s="101">
        <v>1.53</v>
      </c>
      <c r="O362" s="33">
        <v>2</v>
      </c>
      <c r="P362" s="105">
        <v>8.6E-3</v>
      </c>
      <c r="Q362" s="113">
        <v>0.41</v>
      </c>
      <c r="R362" s="105">
        <v>0.15709999999999999</v>
      </c>
      <c r="S362" s="109">
        <v>13.92</v>
      </c>
      <c r="T362" s="109">
        <v>1263.5</v>
      </c>
      <c r="U362" s="109">
        <v>3491.91</v>
      </c>
      <c r="V362" s="43">
        <v>1.0495000000000001</v>
      </c>
      <c r="W362" s="44">
        <v>5.1000000000000004E-3</v>
      </c>
    </row>
    <row r="363" spans="1:23" x14ac:dyDescent="0.25">
      <c r="A363" s="80">
        <v>3</v>
      </c>
      <c r="B363" s="81" t="s">
        <v>17</v>
      </c>
      <c r="C363" s="82" t="s">
        <v>401</v>
      </c>
      <c r="D363" s="51">
        <v>0</v>
      </c>
      <c r="E363" s="92">
        <v>71.400000000000006</v>
      </c>
      <c r="F363" s="92">
        <v>41.36</v>
      </c>
      <c r="G363" s="92">
        <v>73.84</v>
      </c>
      <c r="H363" s="92">
        <v>24.5</v>
      </c>
      <c r="I363" s="92">
        <f t="shared" si="13"/>
        <v>9.9600000000000009</v>
      </c>
      <c r="J363" s="92">
        <f t="shared" si="12"/>
        <v>5.9</v>
      </c>
      <c r="K363" s="58">
        <v>19</v>
      </c>
      <c r="L363" s="58">
        <v>44</v>
      </c>
      <c r="M363" s="58">
        <v>937</v>
      </c>
      <c r="N363" s="101">
        <v>1.53</v>
      </c>
      <c r="O363" s="33">
        <v>2</v>
      </c>
      <c r="P363" s="105">
        <v>7.4000000000000003E-3</v>
      </c>
      <c r="Q363" s="113">
        <v>0.43</v>
      </c>
      <c r="R363" s="105">
        <v>0.15740000000000001</v>
      </c>
      <c r="S363" s="109">
        <v>13.92</v>
      </c>
      <c r="T363" s="109">
        <v>1263.5</v>
      </c>
      <c r="U363" s="109">
        <v>3491.91</v>
      </c>
      <c r="V363" s="43">
        <v>1.0495000000000001</v>
      </c>
      <c r="W363" s="44">
        <v>5.1000000000000004E-3</v>
      </c>
    </row>
    <row r="364" spans="1:23" x14ac:dyDescent="0.25">
      <c r="A364" s="80">
        <v>3</v>
      </c>
      <c r="B364" s="81" t="s">
        <v>17</v>
      </c>
      <c r="C364" s="82" t="s">
        <v>402</v>
      </c>
      <c r="D364" s="51">
        <v>0</v>
      </c>
      <c r="E364" s="92">
        <v>71.400000000000006</v>
      </c>
      <c r="F364" s="92">
        <v>41.36</v>
      </c>
      <c r="G364" s="92">
        <v>73.73</v>
      </c>
      <c r="H364" s="92">
        <v>24.5</v>
      </c>
      <c r="I364" s="92">
        <f t="shared" si="13"/>
        <v>9.51</v>
      </c>
      <c r="J364" s="92">
        <f t="shared" si="12"/>
        <v>5.63</v>
      </c>
      <c r="K364" s="58">
        <v>19</v>
      </c>
      <c r="L364" s="58">
        <v>44</v>
      </c>
      <c r="M364" s="58">
        <v>937</v>
      </c>
      <c r="N364" s="101">
        <v>1.53</v>
      </c>
      <c r="O364" s="33">
        <v>2</v>
      </c>
      <c r="P364" s="105">
        <v>7.3000000000000001E-3</v>
      </c>
      <c r="Q364" s="113">
        <v>0.42</v>
      </c>
      <c r="R364" s="105">
        <v>0.15790000000000001</v>
      </c>
      <c r="S364" s="109">
        <v>13.92</v>
      </c>
      <c r="T364" s="109">
        <v>1263.5</v>
      </c>
      <c r="U364" s="109">
        <v>3491.91</v>
      </c>
      <c r="V364" s="43">
        <v>1.0495000000000001</v>
      </c>
      <c r="W364" s="44">
        <v>5.1000000000000004E-3</v>
      </c>
    </row>
    <row r="365" spans="1:23" x14ac:dyDescent="0.25">
      <c r="A365" s="80">
        <v>3</v>
      </c>
      <c r="B365" s="81" t="s">
        <v>17</v>
      </c>
      <c r="C365" s="82" t="s">
        <v>403</v>
      </c>
      <c r="D365" s="51">
        <v>0</v>
      </c>
      <c r="E365" s="92">
        <v>71.400000000000006</v>
      </c>
      <c r="F365" s="92">
        <v>41.36</v>
      </c>
      <c r="G365" s="92">
        <v>73.61</v>
      </c>
      <c r="H365" s="92">
        <v>24.5</v>
      </c>
      <c r="I365" s="92">
        <f t="shared" si="13"/>
        <v>9.02</v>
      </c>
      <c r="J365" s="92">
        <f t="shared" si="12"/>
        <v>5.34</v>
      </c>
      <c r="K365" s="58">
        <v>19</v>
      </c>
      <c r="L365" s="58">
        <v>44</v>
      </c>
      <c r="M365" s="58">
        <v>937</v>
      </c>
      <c r="N365" s="101">
        <v>1.53</v>
      </c>
      <c r="O365" s="33">
        <v>2</v>
      </c>
      <c r="P365" s="105">
        <v>7.1999999999999998E-3</v>
      </c>
      <c r="Q365" s="113">
        <v>0.41</v>
      </c>
      <c r="R365" s="105">
        <v>0.1628</v>
      </c>
      <c r="S365" s="109">
        <v>13.92</v>
      </c>
      <c r="T365" s="109">
        <v>1263.5</v>
      </c>
      <c r="U365" s="109">
        <v>3491.91</v>
      </c>
      <c r="V365" s="43">
        <v>1.0495000000000001</v>
      </c>
      <c r="W365" s="44">
        <v>5.1000000000000004E-3</v>
      </c>
    </row>
    <row r="366" spans="1:23" x14ac:dyDescent="0.25">
      <c r="A366" s="80">
        <v>3</v>
      </c>
      <c r="B366" s="81" t="s">
        <v>17</v>
      </c>
      <c r="C366" s="82" t="s">
        <v>404</v>
      </c>
      <c r="D366" s="51">
        <v>0</v>
      </c>
      <c r="E366" s="92">
        <v>71.400000000000006</v>
      </c>
      <c r="F366" s="92">
        <v>41.36</v>
      </c>
      <c r="G366" s="92">
        <v>73.489999999999995</v>
      </c>
      <c r="H366" s="92">
        <v>24.5</v>
      </c>
      <c r="I366" s="92">
        <f t="shared" si="13"/>
        <v>8.5299999999999994</v>
      </c>
      <c r="J366" s="92">
        <f t="shared" si="12"/>
        <v>5.05</v>
      </c>
      <c r="K366" s="58">
        <v>19</v>
      </c>
      <c r="L366" s="58">
        <v>44</v>
      </c>
      <c r="M366" s="58">
        <v>937</v>
      </c>
      <c r="N366" s="101">
        <v>1.53</v>
      </c>
      <c r="O366" s="33">
        <v>2</v>
      </c>
      <c r="P366" s="105">
        <v>7.4000000000000003E-3</v>
      </c>
      <c r="Q366" s="113">
        <v>0.4</v>
      </c>
      <c r="R366" s="105">
        <v>0.1658</v>
      </c>
      <c r="S366" s="109">
        <v>13.92</v>
      </c>
      <c r="T366" s="109">
        <v>1263.5</v>
      </c>
      <c r="U366" s="109">
        <v>3491.91</v>
      </c>
      <c r="V366" s="43">
        <v>1.0495000000000001</v>
      </c>
      <c r="W366" s="44">
        <v>5.1000000000000004E-3</v>
      </c>
    </row>
    <row r="367" spans="1:23" x14ac:dyDescent="0.25">
      <c r="A367" s="80">
        <v>3</v>
      </c>
      <c r="B367" s="81" t="s">
        <v>17</v>
      </c>
      <c r="C367" s="82" t="s">
        <v>405</v>
      </c>
      <c r="D367" s="51">
        <v>0</v>
      </c>
      <c r="E367" s="92">
        <v>71.400000000000006</v>
      </c>
      <c r="F367" s="92">
        <v>41.36</v>
      </c>
      <c r="G367" s="92">
        <v>73.37</v>
      </c>
      <c r="H367" s="92">
        <v>24.5</v>
      </c>
      <c r="I367" s="92">
        <f t="shared" si="13"/>
        <v>8.0399999999999991</v>
      </c>
      <c r="J367" s="92">
        <f t="shared" si="12"/>
        <v>4.76</v>
      </c>
      <c r="K367" s="58">
        <v>19</v>
      </c>
      <c r="L367" s="58">
        <v>44</v>
      </c>
      <c r="M367" s="58">
        <v>937</v>
      </c>
      <c r="N367" s="101">
        <v>1.53</v>
      </c>
      <c r="O367" s="33">
        <v>2</v>
      </c>
      <c r="P367" s="105">
        <v>7.0000000000000001E-3</v>
      </c>
      <c r="Q367" s="113">
        <v>0.39</v>
      </c>
      <c r="R367" s="105">
        <v>0.17130000000000001</v>
      </c>
      <c r="S367" s="109">
        <v>13.92</v>
      </c>
      <c r="T367" s="109">
        <v>1263.5</v>
      </c>
      <c r="U367" s="109">
        <v>3491.91</v>
      </c>
      <c r="V367" s="43">
        <v>1.0495000000000001</v>
      </c>
      <c r="W367" s="44">
        <v>5.1000000000000004E-3</v>
      </c>
    </row>
    <row r="368" spans="1:23" x14ac:dyDescent="0.25">
      <c r="A368" s="80">
        <v>3</v>
      </c>
      <c r="B368" s="81" t="s">
        <v>17</v>
      </c>
      <c r="C368" s="82" t="s">
        <v>406</v>
      </c>
      <c r="D368" s="51">
        <v>0</v>
      </c>
      <c r="E368" s="92">
        <v>71.400000000000006</v>
      </c>
      <c r="F368" s="92">
        <v>41.36</v>
      </c>
      <c r="G368" s="92">
        <v>73.25</v>
      </c>
      <c r="H368" s="92">
        <v>24.5</v>
      </c>
      <c r="I368" s="92">
        <f t="shared" si="13"/>
        <v>7.55</v>
      </c>
      <c r="J368" s="92">
        <f t="shared" si="12"/>
        <v>4.47</v>
      </c>
      <c r="K368" s="58">
        <v>19</v>
      </c>
      <c r="L368" s="58">
        <v>44</v>
      </c>
      <c r="M368" s="58">
        <v>937</v>
      </c>
      <c r="N368" s="101">
        <v>1.53</v>
      </c>
      <c r="O368" s="33">
        <v>2</v>
      </c>
      <c r="P368" s="105">
        <v>6.3E-3</v>
      </c>
      <c r="Q368" s="113">
        <v>0.38</v>
      </c>
      <c r="R368" s="105">
        <v>0.19089999999999999</v>
      </c>
      <c r="S368" s="109">
        <v>13.92</v>
      </c>
      <c r="T368" s="109">
        <v>1263.5</v>
      </c>
      <c r="U368" s="109">
        <v>3491.91</v>
      </c>
      <c r="V368" s="43">
        <v>1.0495000000000001</v>
      </c>
      <c r="W368" s="44">
        <v>5.1000000000000004E-3</v>
      </c>
    </row>
    <row r="369" spans="1:23" x14ac:dyDescent="0.25">
      <c r="A369" s="80">
        <v>3</v>
      </c>
      <c r="B369" s="81" t="s">
        <v>17</v>
      </c>
      <c r="C369" s="82" t="s">
        <v>407</v>
      </c>
      <c r="D369" s="51">
        <v>0</v>
      </c>
      <c r="E369" s="92">
        <v>71.400000000000006</v>
      </c>
      <c r="F369" s="92">
        <v>41.36</v>
      </c>
      <c r="G369" s="92">
        <v>73.13</v>
      </c>
      <c r="H369" s="92">
        <v>24.5</v>
      </c>
      <c r="I369" s="92">
        <f t="shared" si="13"/>
        <v>7.06</v>
      </c>
      <c r="J369" s="92">
        <f t="shared" si="12"/>
        <v>4.18</v>
      </c>
      <c r="K369" s="58">
        <v>19</v>
      </c>
      <c r="L369" s="58">
        <v>44</v>
      </c>
      <c r="M369" s="58">
        <v>937</v>
      </c>
      <c r="N369" s="101">
        <v>1.53</v>
      </c>
      <c r="O369" s="33">
        <v>2</v>
      </c>
      <c r="P369" s="105">
        <v>6.4000000000000003E-3</v>
      </c>
      <c r="Q369" s="113">
        <v>0.36</v>
      </c>
      <c r="R369" s="105">
        <v>0.20019999999999999</v>
      </c>
      <c r="S369" s="109">
        <v>13.92</v>
      </c>
      <c r="T369" s="109">
        <v>1263.5</v>
      </c>
      <c r="U369" s="109">
        <v>3491.91</v>
      </c>
      <c r="V369" s="43">
        <v>1.0495000000000001</v>
      </c>
      <c r="W369" s="44">
        <v>5.1000000000000004E-3</v>
      </c>
    </row>
    <row r="370" spans="1:23" x14ac:dyDescent="0.25">
      <c r="A370" s="80">
        <v>3</v>
      </c>
      <c r="B370" s="81" t="s">
        <v>17</v>
      </c>
      <c r="C370" s="82" t="s">
        <v>408</v>
      </c>
      <c r="D370" s="51">
        <v>0</v>
      </c>
      <c r="E370" s="92">
        <v>71.400000000000006</v>
      </c>
      <c r="F370" s="92">
        <v>41.36</v>
      </c>
      <c r="G370" s="92">
        <v>73.02</v>
      </c>
      <c r="H370" s="92">
        <v>24.5</v>
      </c>
      <c r="I370" s="92">
        <f t="shared" si="13"/>
        <v>6.61</v>
      </c>
      <c r="J370" s="92">
        <f t="shared" si="12"/>
        <v>3.92</v>
      </c>
      <c r="K370" s="58">
        <v>19</v>
      </c>
      <c r="L370" s="58">
        <v>44</v>
      </c>
      <c r="M370" s="58">
        <v>937</v>
      </c>
      <c r="N370" s="101">
        <v>1.53</v>
      </c>
      <c r="O370" s="33">
        <v>2</v>
      </c>
      <c r="P370" s="105">
        <v>6.3E-3</v>
      </c>
      <c r="Q370" s="113">
        <v>0.35</v>
      </c>
      <c r="R370" s="105">
        <v>0.20219999999999999</v>
      </c>
      <c r="S370" s="109">
        <v>13.92</v>
      </c>
      <c r="T370" s="109">
        <v>1263.5</v>
      </c>
      <c r="U370" s="109">
        <v>3491.91</v>
      </c>
      <c r="V370" s="43">
        <v>1.0495000000000001</v>
      </c>
      <c r="W370" s="44">
        <v>5.1000000000000004E-3</v>
      </c>
    </row>
    <row r="371" spans="1:23" x14ac:dyDescent="0.25">
      <c r="A371" s="80">
        <v>3</v>
      </c>
      <c r="B371" s="81" t="s">
        <v>17</v>
      </c>
      <c r="C371" s="82" t="s">
        <v>409</v>
      </c>
      <c r="D371" s="51">
        <v>0</v>
      </c>
      <c r="E371" s="92">
        <v>71.400000000000006</v>
      </c>
      <c r="F371" s="92">
        <v>41.36</v>
      </c>
      <c r="G371" s="92">
        <v>72.91</v>
      </c>
      <c r="H371" s="92">
        <v>24.5</v>
      </c>
      <c r="I371" s="92">
        <f t="shared" si="13"/>
        <v>6.16</v>
      </c>
      <c r="J371" s="92">
        <f t="shared" si="12"/>
        <v>3.65</v>
      </c>
      <c r="K371" s="58">
        <v>19</v>
      </c>
      <c r="L371" s="58">
        <v>44</v>
      </c>
      <c r="M371" s="58">
        <v>937</v>
      </c>
      <c r="N371" s="101">
        <v>1.53</v>
      </c>
      <c r="O371" s="33">
        <v>2</v>
      </c>
      <c r="P371" s="105">
        <v>6.6E-3</v>
      </c>
      <c r="Q371" s="113">
        <v>0.34</v>
      </c>
      <c r="R371" s="105">
        <v>0.19670000000000001</v>
      </c>
      <c r="S371" s="109">
        <v>13.92</v>
      </c>
      <c r="T371" s="109">
        <v>1263.5</v>
      </c>
      <c r="U371" s="109">
        <v>3491.91</v>
      </c>
      <c r="V371" s="43">
        <v>1.0495000000000001</v>
      </c>
      <c r="W371" s="44">
        <v>5.1000000000000004E-3</v>
      </c>
    </row>
    <row r="372" spans="1:23" x14ac:dyDescent="0.25">
      <c r="A372" s="80">
        <v>3</v>
      </c>
      <c r="B372" s="81" t="s">
        <v>17</v>
      </c>
      <c r="C372" s="82" t="s">
        <v>410</v>
      </c>
      <c r="D372" s="51">
        <v>0</v>
      </c>
      <c r="E372" s="92">
        <v>71.400000000000006</v>
      </c>
      <c r="F372" s="92">
        <v>41.36</v>
      </c>
      <c r="G372" s="92">
        <v>72.790000000000006</v>
      </c>
      <c r="H372" s="92">
        <v>24.5</v>
      </c>
      <c r="I372" s="92">
        <f t="shared" si="13"/>
        <v>5.67</v>
      </c>
      <c r="J372" s="92">
        <f t="shared" si="12"/>
        <v>3.36</v>
      </c>
      <c r="K372" s="58">
        <v>19</v>
      </c>
      <c r="L372" s="58">
        <v>44</v>
      </c>
      <c r="M372" s="58">
        <v>937</v>
      </c>
      <c r="N372" s="101">
        <v>1.53</v>
      </c>
      <c r="O372" s="33">
        <v>2</v>
      </c>
      <c r="P372" s="105">
        <v>5.8999999999999999E-3</v>
      </c>
      <c r="Q372" s="113">
        <v>0.31</v>
      </c>
      <c r="R372" s="105">
        <v>0.2429</v>
      </c>
      <c r="S372" s="109">
        <v>13.92</v>
      </c>
      <c r="T372" s="109">
        <v>1263.5</v>
      </c>
      <c r="U372" s="109">
        <v>3491.91</v>
      </c>
      <c r="V372" s="43">
        <v>1.0495000000000001</v>
      </c>
      <c r="W372" s="44">
        <v>5.1000000000000004E-3</v>
      </c>
    </row>
    <row r="373" spans="1:23" x14ac:dyDescent="0.25">
      <c r="A373" s="80">
        <v>3</v>
      </c>
      <c r="B373" s="81" t="s">
        <v>17</v>
      </c>
      <c r="C373" s="82" t="s">
        <v>411</v>
      </c>
      <c r="D373" s="51">
        <v>0</v>
      </c>
      <c r="E373" s="92">
        <v>71.400000000000006</v>
      </c>
      <c r="F373" s="92">
        <v>41.36</v>
      </c>
      <c r="G373" s="92">
        <v>72.680000000000007</v>
      </c>
      <c r="H373" s="92">
        <v>24.5</v>
      </c>
      <c r="I373" s="92">
        <f t="shared" si="13"/>
        <v>5.22</v>
      </c>
      <c r="J373" s="92">
        <f t="shared" si="12"/>
        <v>3.09</v>
      </c>
      <c r="K373" s="58">
        <v>19</v>
      </c>
      <c r="L373" s="58">
        <v>44</v>
      </c>
      <c r="M373" s="58">
        <v>937</v>
      </c>
      <c r="N373" s="101">
        <v>1.53</v>
      </c>
      <c r="O373" s="33">
        <v>2</v>
      </c>
      <c r="P373" s="105">
        <v>5.7999999999999996E-3</v>
      </c>
      <c r="Q373" s="113">
        <v>0.28000000000000003</v>
      </c>
      <c r="R373" s="105">
        <v>0.25</v>
      </c>
      <c r="S373" s="109">
        <v>13.92</v>
      </c>
      <c r="T373" s="109">
        <v>1263.5</v>
      </c>
      <c r="U373" s="109">
        <v>3491.91</v>
      </c>
      <c r="V373" s="43">
        <v>1.0495000000000001</v>
      </c>
      <c r="W373" s="44">
        <v>5.1000000000000004E-3</v>
      </c>
    </row>
    <row r="374" spans="1:23" x14ac:dyDescent="0.25">
      <c r="A374" s="80">
        <v>3</v>
      </c>
      <c r="B374" s="81" t="s">
        <v>17</v>
      </c>
      <c r="C374" s="82" t="s">
        <v>412</v>
      </c>
      <c r="D374" s="51">
        <v>0</v>
      </c>
      <c r="E374" s="92">
        <v>71.400000000000006</v>
      </c>
      <c r="F374" s="92">
        <v>41.36</v>
      </c>
      <c r="G374" s="92">
        <v>72.56</v>
      </c>
      <c r="H374" s="92">
        <v>24.5</v>
      </c>
      <c r="I374" s="92">
        <f t="shared" si="13"/>
        <v>4.7300000000000004</v>
      </c>
      <c r="J374" s="92">
        <f t="shared" si="12"/>
        <v>2.8</v>
      </c>
      <c r="K374" s="58">
        <v>19</v>
      </c>
      <c r="L374" s="58">
        <v>44</v>
      </c>
      <c r="M374" s="58">
        <v>937</v>
      </c>
      <c r="N374" s="101">
        <v>1.53</v>
      </c>
      <c r="O374" s="33">
        <v>2</v>
      </c>
      <c r="P374" s="105">
        <v>5.4999999999999997E-3</v>
      </c>
      <c r="Q374" s="113">
        <v>0.25</v>
      </c>
      <c r="R374" s="105">
        <v>0.25</v>
      </c>
      <c r="S374" s="109">
        <v>13.92</v>
      </c>
      <c r="T374" s="109">
        <v>1263.5</v>
      </c>
      <c r="U374" s="109">
        <v>3491.91</v>
      </c>
      <c r="V374" s="43">
        <v>1.0495000000000001</v>
      </c>
      <c r="W374" s="44">
        <v>5.1000000000000004E-3</v>
      </c>
    </row>
    <row r="375" spans="1:23" x14ac:dyDescent="0.25">
      <c r="A375" s="80">
        <v>3</v>
      </c>
      <c r="B375" s="81" t="s">
        <v>17</v>
      </c>
      <c r="C375" s="82" t="s">
        <v>413</v>
      </c>
      <c r="D375" s="51">
        <v>0</v>
      </c>
      <c r="E375" s="92">
        <v>71.400000000000006</v>
      </c>
      <c r="F375" s="92">
        <v>41.36</v>
      </c>
      <c r="G375" s="92">
        <v>72.459999999999994</v>
      </c>
      <c r="H375" s="92">
        <v>24.5</v>
      </c>
      <c r="I375" s="92">
        <f t="shared" si="13"/>
        <v>4.33</v>
      </c>
      <c r="J375" s="92">
        <f t="shared" ref="J375:J406" si="14">100*(G375-E375)/F375</f>
        <v>2.56</v>
      </c>
      <c r="K375" s="58">
        <v>19</v>
      </c>
      <c r="L375" s="58">
        <v>44</v>
      </c>
      <c r="M375" s="58">
        <v>937</v>
      </c>
      <c r="N375" s="101">
        <v>1.53</v>
      </c>
      <c r="O375" s="33">
        <v>2</v>
      </c>
      <c r="P375" s="105">
        <v>5.1000000000000004E-3</v>
      </c>
      <c r="Q375" s="113">
        <v>0.21</v>
      </c>
      <c r="R375" s="105">
        <v>0.25</v>
      </c>
      <c r="S375" s="109">
        <v>13.92</v>
      </c>
      <c r="T375" s="109">
        <v>1263.5</v>
      </c>
      <c r="U375" s="109">
        <v>3491.91</v>
      </c>
      <c r="V375" s="43">
        <v>1.0495000000000001</v>
      </c>
      <c r="W375" s="44">
        <v>5.1000000000000004E-3</v>
      </c>
    </row>
    <row r="376" spans="1:23" x14ac:dyDescent="0.25">
      <c r="A376" s="80">
        <v>3</v>
      </c>
      <c r="B376" s="81" t="s">
        <v>17</v>
      </c>
      <c r="C376" s="82" t="s">
        <v>414</v>
      </c>
      <c r="D376" s="51">
        <v>0</v>
      </c>
      <c r="E376" s="92">
        <v>71.400000000000006</v>
      </c>
      <c r="F376" s="92">
        <v>41.36</v>
      </c>
      <c r="G376" s="92">
        <v>72.349999999999994</v>
      </c>
      <c r="H376" s="92">
        <v>24.5</v>
      </c>
      <c r="I376" s="92">
        <f t="shared" ref="I376:I405" si="15">100*(G376-E376)/H376</f>
        <v>3.88</v>
      </c>
      <c r="J376" s="92">
        <f t="shared" si="14"/>
        <v>2.2999999999999998</v>
      </c>
      <c r="K376" s="58">
        <v>19</v>
      </c>
      <c r="L376" s="58">
        <v>44</v>
      </c>
      <c r="M376" s="58">
        <v>937</v>
      </c>
      <c r="N376" s="101">
        <v>1.53</v>
      </c>
      <c r="O376" s="33">
        <v>2</v>
      </c>
      <c r="P376" s="105">
        <v>5.1999999999999998E-3</v>
      </c>
      <c r="Q376" s="113">
        <v>0.11</v>
      </c>
      <c r="R376" s="105">
        <v>0.25</v>
      </c>
      <c r="S376" s="109">
        <v>13.92</v>
      </c>
      <c r="T376" s="109">
        <v>1263.5</v>
      </c>
      <c r="U376" s="109">
        <v>3491.91</v>
      </c>
      <c r="V376" s="43">
        <v>1.0495000000000001</v>
      </c>
      <c r="W376" s="44">
        <v>5.1000000000000004E-3</v>
      </c>
    </row>
    <row r="377" spans="1:23" x14ac:dyDescent="0.25">
      <c r="A377" s="80">
        <v>3</v>
      </c>
      <c r="B377" s="81" t="s">
        <v>17</v>
      </c>
      <c r="C377" s="82" t="s">
        <v>415</v>
      </c>
      <c r="D377" s="51">
        <v>0</v>
      </c>
      <c r="E377" s="92">
        <v>71.400000000000006</v>
      </c>
      <c r="F377" s="92">
        <v>41.36</v>
      </c>
      <c r="G377" s="92">
        <v>72.260000000000005</v>
      </c>
      <c r="H377" s="92">
        <v>24.5</v>
      </c>
      <c r="I377" s="92">
        <f t="shared" si="15"/>
        <v>3.51</v>
      </c>
      <c r="J377" s="92">
        <f t="shared" si="14"/>
        <v>2.08</v>
      </c>
      <c r="K377" s="58">
        <v>19</v>
      </c>
      <c r="L377" s="58">
        <v>44</v>
      </c>
      <c r="M377" s="58">
        <v>937</v>
      </c>
      <c r="N377" s="101">
        <v>1.53</v>
      </c>
      <c r="O377" s="33">
        <v>2</v>
      </c>
      <c r="P377" s="105">
        <v>6.7000000000000002E-3</v>
      </c>
      <c r="Q377" s="113">
        <v>0.06</v>
      </c>
      <c r="R377" s="105">
        <v>0.14649999999999999</v>
      </c>
      <c r="S377" s="109">
        <v>13.92</v>
      </c>
      <c r="T377" s="109">
        <v>1263.5</v>
      </c>
      <c r="U377" s="109">
        <v>3491.91</v>
      </c>
      <c r="V377" s="43">
        <v>1.0495000000000001</v>
      </c>
      <c r="W377" s="44">
        <v>5.1000000000000004E-3</v>
      </c>
    </row>
    <row r="378" spans="1:23" x14ac:dyDescent="0.25">
      <c r="A378" s="80">
        <v>3</v>
      </c>
      <c r="B378" s="81" t="s">
        <v>17</v>
      </c>
      <c r="C378" s="82" t="s">
        <v>416</v>
      </c>
      <c r="D378" s="51">
        <v>0</v>
      </c>
      <c r="E378" s="92">
        <v>71.400000000000006</v>
      </c>
      <c r="F378" s="92">
        <v>41.36</v>
      </c>
      <c r="G378" s="92">
        <v>72.180000000000007</v>
      </c>
      <c r="H378" s="92">
        <v>24.5</v>
      </c>
      <c r="I378" s="92">
        <f t="shared" si="15"/>
        <v>3.18</v>
      </c>
      <c r="J378" s="92">
        <f t="shared" si="14"/>
        <v>1.89</v>
      </c>
      <c r="K378" s="58">
        <v>19</v>
      </c>
      <c r="L378" s="58">
        <v>44</v>
      </c>
      <c r="M378" s="58">
        <v>937</v>
      </c>
      <c r="N378" s="101">
        <v>1.53</v>
      </c>
      <c r="O378" s="33">
        <v>2</v>
      </c>
      <c r="P378" s="105">
        <v>6.4000000000000003E-3</v>
      </c>
      <c r="Q378" s="113">
        <v>0.04</v>
      </c>
      <c r="R378" s="105">
        <v>1.52E-2</v>
      </c>
      <c r="S378" s="109">
        <v>13.92</v>
      </c>
      <c r="T378" s="109">
        <v>1263.5</v>
      </c>
      <c r="U378" s="109">
        <v>3491.91</v>
      </c>
      <c r="V378" s="43">
        <v>1.0495000000000001</v>
      </c>
      <c r="W378" s="44">
        <v>5.1000000000000004E-3</v>
      </c>
    </row>
    <row r="379" spans="1:23" x14ac:dyDescent="0.25">
      <c r="A379" s="80">
        <v>3</v>
      </c>
      <c r="B379" s="81" t="s">
        <v>17</v>
      </c>
      <c r="C379" s="82" t="s">
        <v>417</v>
      </c>
      <c r="D379" s="51">
        <v>0</v>
      </c>
      <c r="E379" s="92">
        <v>71.400000000000006</v>
      </c>
      <c r="F379" s="92">
        <v>41.36</v>
      </c>
      <c r="G379" s="92">
        <v>72.099999999999994</v>
      </c>
      <c r="H379" s="92">
        <v>24.5</v>
      </c>
      <c r="I379" s="92">
        <f t="shared" si="15"/>
        <v>2.86</v>
      </c>
      <c r="J379" s="92">
        <f t="shared" si="14"/>
        <v>1.69</v>
      </c>
      <c r="K379" s="58">
        <v>19</v>
      </c>
      <c r="L379" s="58">
        <v>44</v>
      </c>
      <c r="M379" s="58">
        <v>937</v>
      </c>
      <c r="N379" s="101">
        <v>1.53</v>
      </c>
      <c r="O379" s="33">
        <v>2</v>
      </c>
      <c r="P379" s="105">
        <v>6.8999999999999999E-3</v>
      </c>
      <c r="Q379" s="113">
        <v>0.03</v>
      </c>
      <c r="R379" s="105">
        <v>0</v>
      </c>
      <c r="S379" s="109">
        <v>13.92</v>
      </c>
      <c r="T379" s="109">
        <v>1263.5</v>
      </c>
      <c r="U379" s="109">
        <v>3491.91</v>
      </c>
      <c r="V379" s="43">
        <v>1.0495000000000001</v>
      </c>
      <c r="W379" s="44">
        <v>5.1000000000000004E-3</v>
      </c>
    </row>
    <row r="380" spans="1:23" x14ac:dyDescent="0.25">
      <c r="A380" s="80">
        <v>3</v>
      </c>
      <c r="B380" s="81" t="s">
        <v>17</v>
      </c>
      <c r="C380" s="82" t="s">
        <v>418</v>
      </c>
      <c r="D380" s="51">
        <v>0</v>
      </c>
      <c r="E380" s="92">
        <v>71.400000000000006</v>
      </c>
      <c r="F380" s="92">
        <v>41.36</v>
      </c>
      <c r="G380" s="92">
        <v>72.05</v>
      </c>
      <c r="H380" s="92">
        <v>24.5</v>
      </c>
      <c r="I380" s="92">
        <f t="shared" si="15"/>
        <v>2.65</v>
      </c>
      <c r="J380" s="92">
        <f t="shared" si="14"/>
        <v>1.57</v>
      </c>
      <c r="K380" s="58">
        <v>19</v>
      </c>
      <c r="L380" s="58">
        <v>44</v>
      </c>
      <c r="M380" s="58">
        <v>937</v>
      </c>
      <c r="N380" s="101">
        <v>1.53</v>
      </c>
      <c r="O380" s="33">
        <v>2</v>
      </c>
      <c r="P380" s="105">
        <v>8.3999999999999995E-3</v>
      </c>
      <c r="Q380" s="113">
        <v>0.02</v>
      </c>
      <c r="R380" s="105">
        <v>0</v>
      </c>
      <c r="S380" s="109">
        <v>13.92</v>
      </c>
      <c r="T380" s="109">
        <v>1263.5</v>
      </c>
      <c r="U380" s="109">
        <v>3491.91</v>
      </c>
      <c r="V380" s="43">
        <v>1.0495000000000001</v>
      </c>
      <c r="W380" s="44">
        <v>5.1000000000000004E-3</v>
      </c>
    </row>
    <row r="381" spans="1:23" x14ac:dyDescent="0.25">
      <c r="A381" s="80">
        <v>3</v>
      </c>
      <c r="B381" s="81" t="s">
        <v>17</v>
      </c>
      <c r="C381" s="82" t="s">
        <v>419</v>
      </c>
      <c r="D381" s="51">
        <v>0</v>
      </c>
      <c r="E381" s="92">
        <v>71.400000000000006</v>
      </c>
      <c r="F381" s="92">
        <v>41.36</v>
      </c>
      <c r="G381" s="92">
        <v>71.98</v>
      </c>
      <c r="H381" s="92">
        <v>24.5</v>
      </c>
      <c r="I381" s="92">
        <f t="shared" si="15"/>
        <v>2.37</v>
      </c>
      <c r="J381" s="92">
        <f t="shared" si="14"/>
        <v>1.4</v>
      </c>
      <c r="K381" s="58">
        <v>19</v>
      </c>
      <c r="L381" s="58">
        <v>44</v>
      </c>
      <c r="M381" s="58">
        <v>937</v>
      </c>
      <c r="N381" s="101">
        <v>1.53</v>
      </c>
      <c r="O381" s="33">
        <v>2</v>
      </c>
      <c r="P381" s="105">
        <v>5.5999999999999999E-3</v>
      </c>
      <c r="Q381" s="113">
        <v>0.02</v>
      </c>
      <c r="R381" s="105">
        <v>3.3999999999999998E-3</v>
      </c>
      <c r="S381" s="109">
        <v>13.92</v>
      </c>
      <c r="T381" s="109">
        <v>1263.5</v>
      </c>
      <c r="U381" s="109">
        <v>3491.91</v>
      </c>
      <c r="V381" s="43">
        <v>1.0495000000000001</v>
      </c>
      <c r="W381" s="44">
        <v>5.1000000000000004E-3</v>
      </c>
    </row>
    <row r="382" spans="1:23" x14ac:dyDescent="0.25">
      <c r="A382" s="80">
        <v>3</v>
      </c>
      <c r="B382" s="81" t="s">
        <v>17</v>
      </c>
      <c r="C382" s="82" t="s">
        <v>420</v>
      </c>
      <c r="D382" s="51">
        <v>0</v>
      </c>
      <c r="E382" s="92">
        <v>71.400000000000006</v>
      </c>
      <c r="F382" s="92">
        <v>41.36</v>
      </c>
      <c r="G382" s="92">
        <v>71.92</v>
      </c>
      <c r="H382" s="92">
        <v>24.5</v>
      </c>
      <c r="I382" s="92">
        <f t="shared" si="15"/>
        <v>2.12</v>
      </c>
      <c r="J382" s="92">
        <f t="shared" si="14"/>
        <v>1.26</v>
      </c>
      <c r="K382" s="58">
        <v>19</v>
      </c>
      <c r="L382" s="58">
        <v>44</v>
      </c>
      <c r="M382" s="58">
        <v>937</v>
      </c>
      <c r="N382" s="101">
        <v>1.53</v>
      </c>
      <c r="O382" s="33">
        <v>2</v>
      </c>
      <c r="P382" s="105">
        <v>5.7000000000000002E-3</v>
      </c>
      <c r="Q382" s="113">
        <v>0.01</v>
      </c>
      <c r="R382" s="105">
        <v>0</v>
      </c>
      <c r="S382" s="109">
        <v>13.92</v>
      </c>
      <c r="T382" s="109">
        <v>1263.5</v>
      </c>
      <c r="U382" s="109">
        <v>3491.91</v>
      </c>
      <c r="V382" s="43">
        <v>1.0495000000000001</v>
      </c>
      <c r="W382" s="44">
        <v>5.1000000000000004E-3</v>
      </c>
    </row>
    <row r="383" spans="1:23" x14ac:dyDescent="0.25">
      <c r="A383" s="80">
        <v>3</v>
      </c>
      <c r="B383" s="81" t="s">
        <v>17</v>
      </c>
      <c r="C383" s="82" t="s">
        <v>421</v>
      </c>
      <c r="D383" s="51">
        <v>0</v>
      </c>
      <c r="E383" s="92">
        <v>71.400000000000006</v>
      </c>
      <c r="F383" s="92">
        <v>41.36</v>
      </c>
      <c r="G383" s="92">
        <v>71.88</v>
      </c>
      <c r="H383" s="92">
        <v>24.5</v>
      </c>
      <c r="I383" s="92">
        <f t="shared" si="15"/>
        <v>1.96</v>
      </c>
      <c r="J383" s="92">
        <f t="shared" si="14"/>
        <v>1.1599999999999999</v>
      </c>
      <c r="K383" s="58">
        <v>19</v>
      </c>
      <c r="L383" s="58">
        <v>44</v>
      </c>
      <c r="M383" s="58">
        <v>937</v>
      </c>
      <c r="N383" s="101">
        <v>1.53</v>
      </c>
      <c r="O383" s="33">
        <v>2</v>
      </c>
      <c r="P383" s="105">
        <v>9.4000000000000004E-3</v>
      </c>
      <c r="Q383" s="113">
        <v>0.02</v>
      </c>
      <c r="R383" s="105">
        <v>0</v>
      </c>
      <c r="S383" s="109">
        <v>13.92</v>
      </c>
      <c r="T383" s="109">
        <v>1263.5</v>
      </c>
      <c r="U383" s="109">
        <v>3491.91</v>
      </c>
      <c r="V383" s="43">
        <v>1.0495000000000001</v>
      </c>
      <c r="W383" s="44">
        <v>5.1000000000000004E-3</v>
      </c>
    </row>
    <row r="384" spans="1:23" x14ac:dyDescent="0.25">
      <c r="A384" s="80">
        <v>3</v>
      </c>
      <c r="B384" s="81" t="s">
        <v>17</v>
      </c>
      <c r="C384" s="82" t="s">
        <v>422</v>
      </c>
      <c r="D384" s="51">
        <v>0</v>
      </c>
      <c r="E384" s="92">
        <v>71.400000000000006</v>
      </c>
      <c r="F384" s="92">
        <v>41.36</v>
      </c>
      <c r="G384" s="92">
        <v>71.84</v>
      </c>
      <c r="H384" s="92">
        <v>24.5</v>
      </c>
      <c r="I384" s="92">
        <f t="shared" si="15"/>
        <v>1.8</v>
      </c>
      <c r="J384" s="92">
        <f t="shared" si="14"/>
        <v>1.06</v>
      </c>
      <c r="K384" s="58">
        <v>19</v>
      </c>
      <c r="L384" s="58">
        <v>44</v>
      </c>
      <c r="M384" s="58">
        <v>937</v>
      </c>
      <c r="N384" s="101">
        <v>1.53</v>
      </c>
      <c r="O384" s="33">
        <v>2</v>
      </c>
      <c r="P384" s="105">
        <v>5.3E-3</v>
      </c>
      <c r="Q384" s="113">
        <v>0.01</v>
      </c>
      <c r="R384" s="105">
        <v>0</v>
      </c>
      <c r="S384" s="109">
        <v>13.92</v>
      </c>
      <c r="T384" s="109">
        <v>1263.5</v>
      </c>
      <c r="U384" s="109">
        <v>3491.91</v>
      </c>
      <c r="V384" s="43">
        <v>1.0495000000000001</v>
      </c>
      <c r="W384" s="44">
        <v>5.1000000000000004E-3</v>
      </c>
    </row>
    <row r="385" spans="1:23" x14ac:dyDescent="0.25">
      <c r="A385" s="80">
        <v>3</v>
      </c>
      <c r="B385" s="81" t="s">
        <v>17</v>
      </c>
      <c r="C385" s="82" t="s">
        <v>423</v>
      </c>
      <c r="D385" s="51">
        <v>0</v>
      </c>
      <c r="E385" s="92">
        <v>71.400000000000006</v>
      </c>
      <c r="F385" s="92">
        <v>41.36</v>
      </c>
      <c r="G385" s="92">
        <v>71.8</v>
      </c>
      <c r="H385" s="92">
        <v>24.5</v>
      </c>
      <c r="I385" s="92">
        <f t="shared" si="15"/>
        <v>1.63</v>
      </c>
      <c r="J385" s="92">
        <f t="shared" si="14"/>
        <v>0.97</v>
      </c>
      <c r="K385" s="58">
        <v>19</v>
      </c>
      <c r="L385" s="58">
        <v>44</v>
      </c>
      <c r="M385" s="58">
        <v>937</v>
      </c>
      <c r="N385" s="101">
        <v>1.53</v>
      </c>
      <c r="O385" s="33">
        <v>2</v>
      </c>
      <c r="P385" s="105">
        <v>1.34E-2</v>
      </c>
      <c r="Q385" s="113">
        <v>0.01</v>
      </c>
      <c r="R385" s="105">
        <v>0</v>
      </c>
      <c r="S385" s="109">
        <v>13.92</v>
      </c>
      <c r="T385" s="109">
        <v>1263.5</v>
      </c>
      <c r="U385" s="109">
        <v>3491.91</v>
      </c>
      <c r="V385" s="43">
        <v>1.0495000000000001</v>
      </c>
      <c r="W385" s="44">
        <v>5.1000000000000004E-3</v>
      </c>
    </row>
    <row r="386" spans="1:23" x14ac:dyDescent="0.25">
      <c r="A386" s="80">
        <v>3</v>
      </c>
      <c r="B386" s="81" t="s">
        <v>17</v>
      </c>
      <c r="C386" s="82" t="s">
        <v>424</v>
      </c>
      <c r="D386" s="51">
        <v>0</v>
      </c>
      <c r="E386" s="92">
        <v>71.400000000000006</v>
      </c>
      <c r="F386" s="92">
        <v>41.36</v>
      </c>
      <c r="G386" s="92">
        <v>71.760000000000005</v>
      </c>
      <c r="H386" s="92">
        <v>24.5</v>
      </c>
      <c r="I386" s="92">
        <f t="shared" si="15"/>
        <v>1.47</v>
      </c>
      <c r="J386" s="92">
        <f t="shared" si="14"/>
        <v>0.87</v>
      </c>
      <c r="K386" s="58">
        <v>19</v>
      </c>
      <c r="L386" s="58">
        <v>44</v>
      </c>
      <c r="M386" s="58">
        <v>937</v>
      </c>
      <c r="N386" s="101">
        <v>1.53</v>
      </c>
      <c r="O386" s="33">
        <v>2</v>
      </c>
      <c r="P386" s="105">
        <v>8.9999999999999993E-3</v>
      </c>
      <c r="Q386" s="113">
        <v>0.01</v>
      </c>
      <c r="R386" s="105">
        <v>0</v>
      </c>
      <c r="S386" s="109">
        <v>13.92</v>
      </c>
      <c r="T386" s="109">
        <v>1263.5</v>
      </c>
      <c r="U386" s="109">
        <v>3491.91</v>
      </c>
      <c r="V386" s="43">
        <v>1.0495000000000001</v>
      </c>
      <c r="W386" s="44">
        <v>5.1000000000000004E-3</v>
      </c>
    </row>
    <row r="387" spans="1:23" x14ac:dyDescent="0.25">
      <c r="A387" s="80">
        <v>3</v>
      </c>
      <c r="B387" s="81" t="s">
        <v>17</v>
      </c>
      <c r="C387" s="82" t="s">
        <v>425</v>
      </c>
      <c r="D387" s="51">
        <v>0</v>
      </c>
      <c r="E387" s="92">
        <v>71.400000000000006</v>
      </c>
      <c r="F387" s="92">
        <v>41.36</v>
      </c>
      <c r="G387" s="92">
        <v>71.72</v>
      </c>
      <c r="H387" s="92">
        <v>24.5</v>
      </c>
      <c r="I387" s="92">
        <f t="shared" si="15"/>
        <v>1.31</v>
      </c>
      <c r="J387" s="92">
        <f t="shared" si="14"/>
        <v>0.77</v>
      </c>
      <c r="K387" s="58">
        <v>19</v>
      </c>
      <c r="L387" s="58">
        <v>44</v>
      </c>
      <c r="M387" s="58">
        <v>937</v>
      </c>
      <c r="N387" s="101">
        <v>1.53</v>
      </c>
      <c r="O387" s="33">
        <v>2</v>
      </c>
      <c r="P387" s="105">
        <v>1.24E-2</v>
      </c>
      <c r="Q387" s="113">
        <v>0.01</v>
      </c>
      <c r="R387" s="105">
        <v>0</v>
      </c>
      <c r="S387" s="109">
        <v>13.92</v>
      </c>
      <c r="T387" s="109">
        <v>1263.5</v>
      </c>
      <c r="U387" s="109">
        <v>3491.91</v>
      </c>
      <c r="V387" s="43">
        <v>1.0495000000000001</v>
      </c>
      <c r="W387" s="44">
        <v>5.1000000000000004E-3</v>
      </c>
    </row>
    <row r="388" spans="1:23" x14ac:dyDescent="0.25">
      <c r="A388" s="80">
        <v>3</v>
      </c>
      <c r="B388" s="81" t="s">
        <v>17</v>
      </c>
      <c r="C388" s="82" t="s">
        <v>426</v>
      </c>
      <c r="D388" s="51">
        <v>0</v>
      </c>
      <c r="E388" s="92">
        <v>71.400000000000006</v>
      </c>
      <c r="F388" s="92">
        <v>41.36</v>
      </c>
      <c r="G388" s="92">
        <v>71.69</v>
      </c>
      <c r="H388" s="92">
        <v>24.5</v>
      </c>
      <c r="I388" s="92">
        <f t="shared" si="15"/>
        <v>1.18</v>
      </c>
      <c r="J388" s="92">
        <f t="shared" si="14"/>
        <v>0.7</v>
      </c>
      <c r="K388" s="58">
        <v>19</v>
      </c>
      <c r="L388" s="58">
        <v>44</v>
      </c>
      <c r="M388" s="58">
        <v>937</v>
      </c>
      <c r="N388" s="101">
        <v>1.53</v>
      </c>
      <c r="O388" s="33">
        <v>2</v>
      </c>
      <c r="P388" s="105">
        <v>1.2800000000000001E-2</v>
      </c>
      <c r="Q388" s="113">
        <v>0.01</v>
      </c>
      <c r="R388" s="105">
        <v>0</v>
      </c>
      <c r="S388" s="109">
        <v>13.92</v>
      </c>
      <c r="T388" s="109">
        <v>1263.5</v>
      </c>
      <c r="U388" s="109">
        <v>3491.91</v>
      </c>
      <c r="V388" s="43">
        <v>1.0495000000000001</v>
      </c>
      <c r="W388" s="44">
        <v>5.1000000000000004E-3</v>
      </c>
    </row>
    <row r="389" spans="1:23" x14ac:dyDescent="0.25">
      <c r="A389" s="80">
        <v>3</v>
      </c>
      <c r="B389" s="81" t="s">
        <v>17</v>
      </c>
      <c r="C389" s="82" t="s">
        <v>427</v>
      </c>
      <c r="D389" s="51">
        <v>0</v>
      </c>
      <c r="E389" s="92">
        <v>71.400000000000006</v>
      </c>
      <c r="F389" s="92">
        <v>41.36</v>
      </c>
      <c r="G389" s="92">
        <v>71.66</v>
      </c>
      <c r="H389" s="92">
        <v>24.5</v>
      </c>
      <c r="I389" s="92">
        <f t="shared" si="15"/>
        <v>1.06</v>
      </c>
      <c r="J389" s="92">
        <f t="shared" si="14"/>
        <v>0.63</v>
      </c>
      <c r="K389" s="58">
        <v>19</v>
      </c>
      <c r="L389" s="58">
        <v>44</v>
      </c>
      <c r="M389" s="58">
        <v>937</v>
      </c>
      <c r="N389" s="101">
        <v>1.53</v>
      </c>
      <c r="O389" s="33">
        <v>2</v>
      </c>
      <c r="P389" s="105">
        <v>1.6400000000000001E-2</v>
      </c>
      <c r="Q389" s="113">
        <v>0.01</v>
      </c>
      <c r="R389" s="105">
        <v>0</v>
      </c>
      <c r="S389" s="109">
        <v>13.92</v>
      </c>
      <c r="T389" s="109">
        <v>1263.5</v>
      </c>
      <c r="U389" s="109">
        <v>3491.91</v>
      </c>
      <c r="V389" s="43">
        <v>1.0495000000000001</v>
      </c>
      <c r="W389" s="44">
        <v>5.1000000000000004E-3</v>
      </c>
    </row>
    <row r="390" spans="1:23" x14ac:dyDescent="0.25">
      <c r="A390" s="80">
        <v>3</v>
      </c>
      <c r="B390" s="81" t="s">
        <v>17</v>
      </c>
      <c r="C390" s="82" t="s">
        <v>428</v>
      </c>
      <c r="D390" s="51">
        <v>0</v>
      </c>
      <c r="E390" s="92">
        <v>71.400000000000006</v>
      </c>
      <c r="F390" s="92">
        <v>41.36</v>
      </c>
      <c r="G390" s="92">
        <v>71.63</v>
      </c>
      <c r="H390" s="92">
        <v>24.5</v>
      </c>
      <c r="I390" s="92">
        <f t="shared" si="15"/>
        <v>0.94</v>
      </c>
      <c r="J390" s="92">
        <f t="shared" si="14"/>
        <v>0.56000000000000005</v>
      </c>
      <c r="K390" s="58">
        <v>19</v>
      </c>
      <c r="L390" s="58">
        <v>44</v>
      </c>
      <c r="M390" s="58">
        <v>937</v>
      </c>
      <c r="N390" s="101">
        <v>1.53</v>
      </c>
      <c r="O390" s="33">
        <v>2</v>
      </c>
      <c r="P390" s="105">
        <v>1.41E-2</v>
      </c>
      <c r="Q390" s="113">
        <v>0.01</v>
      </c>
      <c r="R390" s="105">
        <v>0</v>
      </c>
      <c r="S390" s="109">
        <v>13.92</v>
      </c>
      <c r="T390" s="109">
        <v>1263.5</v>
      </c>
      <c r="U390" s="109">
        <v>3491.91</v>
      </c>
      <c r="V390" s="43">
        <v>1.0495000000000001</v>
      </c>
      <c r="W390" s="44">
        <v>5.1000000000000004E-3</v>
      </c>
    </row>
    <row r="391" spans="1:23" x14ac:dyDescent="0.25">
      <c r="A391" s="80">
        <v>3</v>
      </c>
      <c r="B391" s="81" t="s">
        <v>17</v>
      </c>
      <c r="C391" s="82" t="s">
        <v>429</v>
      </c>
      <c r="D391" s="51">
        <v>0</v>
      </c>
      <c r="E391" s="92">
        <v>71.400000000000006</v>
      </c>
      <c r="F391" s="92">
        <v>41.36</v>
      </c>
      <c r="G391" s="92">
        <v>71.599999999999994</v>
      </c>
      <c r="H391" s="92">
        <v>24.5</v>
      </c>
      <c r="I391" s="92">
        <f t="shared" si="15"/>
        <v>0.82</v>
      </c>
      <c r="J391" s="92">
        <f t="shared" si="14"/>
        <v>0.48</v>
      </c>
      <c r="K391" s="58">
        <v>19</v>
      </c>
      <c r="L391" s="58">
        <v>44</v>
      </c>
      <c r="M391" s="58">
        <v>937</v>
      </c>
      <c r="N391" s="101">
        <v>1.53</v>
      </c>
      <c r="O391" s="33">
        <v>2</v>
      </c>
      <c r="P391" s="105">
        <v>9.4000000000000004E-3</v>
      </c>
      <c r="Q391" s="113">
        <v>0.01</v>
      </c>
      <c r="R391" s="105">
        <v>0</v>
      </c>
      <c r="S391" s="109">
        <v>13.92</v>
      </c>
      <c r="T391" s="109">
        <v>1263.5</v>
      </c>
      <c r="U391" s="109">
        <v>3491.91</v>
      </c>
      <c r="V391" s="43">
        <v>1.0495000000000001</v>
      </c>
      <c r="W391" s="44">
        <v>5.1000000000000004E-3</v>
      </c>
    </row>
    <row r="392" spans="1:23" x14ac:dyDescent="0.25">
      <c r="A392" s="80">
        <v>3</v>
      </c>
      <c r="B392" s="81" t="s">
        <v>17</v>
      </c>
      <c r="C392" s="82" t="s">
        <v>430</v>
      </c>
      <c r="D392" s="51">
        <v>0</v>
      </c>
      <c r="E392" s="92">
        <v>71.400000000000006</v>
      </c>
      <c r="F392" s="92">
        <v>41.36</v>
      </c>
      <c r="G392" s="92">
        <v>71.58</v>
      </c>
      <c r="H392" s="92">
        <v>24.5</v>
      </c>
      <c r="I392" s="92">
        <f t="shared" si="15"/>
        <v>0.73</v>
      </c>
      <c r="J392" s="92">
        <f t="shared" si="14"/>
        <v>0.44</v>
      </c>
      <c r="K392" s="58">
        <v>19</v>
      </c>
      <c r="L392" s="58">
        <v>44</v>
      </c>
      <c r="M392" s="58">
        <v>937</v>
      </c>
      <c r="N392" s="101">
        <v>1.53</v>
      </c>
      <c r="O392" s="33">
        <v>2</v>
      </c>
      <c r="P392" s="105">
        <v>1.72E-2</v>
      </c>
      <c r="Q392" s="113">
        <v>0.01</v>
      </c>
      <c r="R392" s="105">
        <v>0</v>
      </c>
      <c r="S392" s="109">
        <v>13.92</v>
      </c>
      <c r="T392" s="109">
        <v>1263.5</v>
      </c>
      <c r="U392" s="109">
        <v>3491.91</v>
      </c>
      <c r="V392" s="43">
        <v>1.0495000000000001</v>
      </c>
      <c r="W392" s="44">
        <v>5.1000000000000004E-3</v>
      </c>
    </row>
    <row r="393" spans="1:23" x14ac:dyDescent="0.25">
      <c r="A393" s="80">
        <v>3</v>
      </c>
      <c r="B393" s="81" t="s">
        <v>17</v>
      </c>
      <c r="C393" s="82" t="s">
        <v>431</v>
      </c>
      <c r="D393" s="51">
        <v>0</v>
      </c>
      <c r="E393" s="92">
        <v>71.400000000000006</v>
      </c>
      <c r="F393" s="92">
        <v>41.36</v>
      </c>
      <c r="G393" s="92">
        <v>71.56</v>
      </c>
      <c r="H393" s="92">
        <v>24.5</v>
      </c>
      <c r="I393" s="92">
        <f t="shared" si="15"/>
        <v>0.65</v>
      </c>
      <c r="J393" s="92">
        <f t="shared" si="14"/>
        <v>0.39</v>
      </c>
      <c r="K393" s="58">
        <v>19</v>
      </c>
      <c r="L393" s="58">
        <v>44</v>
      </c>
      <c r="M393" s="58">
        <v>937</v>
      </c>
      <c r="N393" s="101">
        <v>1.53</v>
      </c>
      <c r="O393" s="33">
        <v>2</v>
      </c>
      <c r="P393" s="105">
        <v>1.32E-2</v>
      </c>
      <c r="Q393" s="113">
        <v>0.01</v>
      </c>
      <c r="R393" s="105">
        <v>0</v>
      </c>
      <c r="S393" s="109">
        <v>13.92</v>
      </c>
      <c r="T393" s="109">
        <v>1263.5</v>
      </c>
      <c r="U393" s="109">
        <v>3491.91</v>
      </c>
      <c r="V393" s="43">
        <v>1.0495000000000001</v>
      </c>
      <c r="W393" s="44">
        <v>5.1000000000000004E-3</v>
      </c>
    </row>
    <row r="394" spans="1:23" x14ac:dyDescent="0.25">
      <c r="A394" s="80">
        <v>3</v>
      </c>
      <c r="B394" s="81" t="s">
        <v>17</v>
      </c>
      <c r="C394" s="82" t="s">
        <v>432</v>
      </c>
      <c r="D394" s="51">
        <v>0</v>
      </c>
      <c r="E394" s="92">
        <v>71.400000000000006</v>
      </c>
      <c r="F394" s="92">
        <v>41.36</v>
      </c>
      <c r="G394" s="92">
        <v>71.540000000000006</v>
      </c>
      <c r="H394" s="92">
        <v>24.5</v>
      </c>
      <c r="I394" s="92">
        <f t="shared" si="15"/>
        <v>0.56999999999999995</v>
      </c>
      <c r="J394" s="92">
        <f t="shared" si="14"/>
        <v>0.34</v>
      </c>
      <c r="K394" s="58">
        <v>19</v>
      </c>
      <c r="L394" s="58">
        <v>44</v>
      </c>
      <c r="M394" s="58">
        <v>937</v>
      </c>
      <c r="N394" s="101">
        <v>1.53</v>
      </c>
      <c r="O394" s="33">
        <v>2</v>
      </c>
      <c r="P394" s="105">
        <v>1.15E-2</v>
      </c>
      <c r="Q394" s="113">
        <v>0</v>
      </c>
      <c r="R394" s="105">
        <v>0</v>
      </c>
      <c r="S394" s="109">
        <v>13.92</v>
      </c>
      <c r="T394" s="109">
        <v>1263.5</v>
      </c>
      <c r="U394" s="109">
        <v>3491.91</v>
      </c>
      <c r="V394" s="43">
        <v>1.0495000000000001</v>
      </c>
      <c r="W394" s="44">
        <v>5.1000000000000004E-3</v>
      </c>
    </row>
    <row r="395" spans="1:23" x14ac:dyDescent="0.25">
      <c r="A395" s="80">
        <v>3</v>
      </c>
      <c r="B395" s="81" t="s">
        <v>17</v>
      </c>
      <c r="C395" s="82" t="s">
        <v>433</v>
      </c>
      <c r="D395" s="51">
        <v>0</v>
      </c>
      <c r="E395" s="92">
        <v>71.400000000000006</v>
      </c>
      <c r="F395" s="92">
        <v>41.36</v>
      </c>
      <c r="G395" s="92">
        <v>71.510000000000005</v>
      </c>
      <c r="H395" s="92">
        <v>24.5</v>
      </c>
      <c r="I395" s="92">
        <f t="shared" si="15"/>
        <v>0.45</v>
      </c>
      <c r="J395" s="92">
        <f t="shared" si="14"/>
        <v>0.27</v>
      </c>
      <c r="K395" s="58">
        <v>19</v>
      </c>
      <c r="L395" s="58">
        <v>44</v>
      </c>
      <c r="M395" s="58">
        <v>937</v>
      </c>
      <c r="N395" s="101">
        <v>1.53</v>
      </c>
      <c r="O395" s="33">
        <v>2</v>
      </c>
      <c r="P395" s="105">
        <v>2.8299999999999999E-2</v>
      </c>
      <c r="Q395" s="113">
        <v>0</v>
      </c>
      <c r="R395" s="105">
        <v>1.67E-2</v>
      </c>
      <c r="S395" s="109">
        <v>13.92</v>
      </c>
      <c r="T395" s="109">
        <v>1263.5</v>
      </c>
      <c r="U395" s="109">
        <v>3491.91</v>
      </c>
      <c r="V395" s="43">
        <v>1.0495000000000001</v>
      </c>
      <c r="W395" s="44">
        <v>5.1000000000000004E-3</v>
      </c>
    </row>
    <row r="396" spans="1:23" x14ac:dyDescent="0.25">
      <c r="A396" s="80">
        <v>3</v>
      </c>
      <c r="B396" s="81" t="s">
        <v>17</v>
      </c>
      <c r="C396" s="82" t="s">
        <v>434</v>
      </c>
      <c r="D396" s="51">
        <v>0</v>
      </c>
      <c r="E396" s="92">
        <v>71.400000000000006</v>
      </c>
      <c r="F396" s="92">
        <v>41.36</v>
      </c>
      <c r="G396" s="92">
        <v>71.48</v>
      </c>
      <c r="H396" s="92">
        <v>24.5</v>
      </c>
      <c r="I396" s="92">
        <f t="shared" si="15"/>
        <v>0.33</v>
      </c>
      <c r="J396" s="92">
        <f t="shared" si="14"/>
        <v>0.19</v>
      </c>
      <c r="K396" s="58">
        <v>19</v>
      </c>
      <c r="L396" s="58">
        <v>44</v>
      </c>
      <c r="M396" s="58">
        <v>937</v>
      </c>
      <c r="N396" s="101">
        <v>1.53</v>
      </c>
      <c r="O396" s="33">
        <v>2</v>
      </c>
      <c r="P396" s="105">
        <v>6.1000000000000004E-3</v>
      </c>
      <c r="Q396" s="113">
        <v>0</v>
      </c>
      <c r="R396" s="105">
        <v>2.9999999999999997E-4</v>
      </c>
      <c r="S396" s="109">
        <v>13.92</v>
      </c>
      <c r="T396" s="109">
        <v>1263.5</v>
      </c>
      <c r="U396" s="109">
        <v>3491.91</v>
      </c>
      <c r="V396" s="43">
        <v>1.0495000000000001</v>
      </c>
      <c r="W396" s="44">
        <v>5.1000000000000004E-3</v>
      </c>
    </row>
    <row r="397" spans="1:23" x14ac:dyDescent="0.25">
      <c r="A397" s="80">
        <v>3</v>
      </c>
      <c r="B397" s="81" t="s">
        <v>17</v>
      </c>
      <c r="C397" s="82" t="s">
        <v>435</v>
      </c>
      <c r="D397" s="51">
        <v>0</v>
      </c>
      <c r="E397" s="92">
        <v>71.400000000000006</v>
      </c>
      <c r="F397" s="92">
        <v>41.36</v>
      </c>
      <c r="G397" s="92">
        <v>71.459999999999994</v>
      </c>
      <c r="H397" s="92">
        <v>24.5</v>
      </c>
      <c r="I397" s="92">
        <f t="shared" si="15"/>
        <v>0.24</v>
      </c>
      <c r="J397" s="92">
        <f t="shared" si="14"/>
        <v>0.15</v>
      </c>
      <c r="K397" s="58">
        <v>19</v>
      </c>
      <c r="L397" s="58">
        <v>44</v>
      </c>
      <c r="M397" s="58">
        <v>937</v>
      </c>
      <c r="N397" s="101">
        <v>1.53</v>
      </c>
      <c r="O397" s="33">
        <v>2</v>
      </c>
      <c r="P397" s="105">
        <v>1.6000000000000001E-3</v>
      </c>
      <c r="Q397" s="113">
        <v>0</v>
      </c>
      <c r="R397" s="105">
        <v>0</v>
      </c>
      <c r="S397" s="109">
        <v>13.92</v>
      </c>
      <c r="T397" s="109">
        <v>1263.5</v>
      </c>
      <c r="U397" s="109">
        <v>3491.91</v>
      </c>
      <c r="V397" s="43">
        <v>1.0495000000000001</v>
      </c>
      <c r="W397" s="44">
        <v>5.1000000000000004E-3</v>
      </c>
    </row>
    <row r="398" spans="1:23" x14ac:dyDescent="0.25">
      <c r="A398" s="80">
        <v>3</v>
      </c>
      <c r="B398" s="81" t="s">
        <v>17</v>
      </c>
      <c r="C398" s="82" t="s">
        <v>436</v>
      </c>
      <c r="D398" s="51">
        <v>0</v>
      </c>
      <c r="E398" s="92">
        <v>71.400000000000006</v>
      </c>
      <c r="F398" s="92">
        <v>41.36</v>
      </c>
      <c r="G398" s="92">
        <v>71.459999999999994</v>
      </c>
      <c r="H398" s="92">
        <v>24.5</v>
      </c>
      <c r="I398" s="92">
        <f t="shared" si="15"/>
        <v>0.24</v>
      </c>
      <c r="J398" s="92">
        <f t="shared" si="14"/>
        <v>0.15</v>
      </c>
      <c r="K398" s="58">
        <v>19</v>
      </c>
      <c r="L398" s="58">
        <v>44</v>
      </c>
      <c r="M398" s="58">
        <v>937</v>
      </c>
      <c r="N398" s="101">
        <v>1.53</v>
      </c>
      <c r="O398" s="33">
        <v>2</v>
      </c>
      <c r="P398" s="105">
        <v>1.18E-2</v>
      </c>
      <c r="Q398" s="113">
        <v>0.01</v>
      </c>
      <c r="R398" s="105">
        <v>0</v>
      </c>
      <c r="S398" s="109">
        <v>13.92</v>
      </c>
      <c r="T398" s="109">
        <v>1263.5</v>
      </c>
      <c r="U398" s="109">
        <v>3491.91</v>
      </c>
      <c r="V398" s="43">
        <v>1.0495000000000001</v>
      </c>
      <c r="W398" s="44">
        <v>5.1000000000000004E-3</v>
      </c>
    </row>
    <row r="399" spans="1:23" x14ac:dyDescent="0.25">
      <c r="A399" s="80">
        <v>3</v>
      </c>
      <c r="B399" s="81" t="s">
        <v>17</v>
      </c>
      <c r="C399" s="82" t="s">
        <v>437</v>
      </c>
      <c r="D399" s="51">
        <v>0</v>
      </c>
      <c r="E399" s="92">
        <v>71.400000000000006</v>
      </c>
      <c r="F399" s="92">
        <v>41.36</v>
      </c>
      <c r="G399" s="92">
        <v>71.44</v>
      </c>
      <c r="H399" s="92">
        <v>24.5</v>
      </c>
      <c r="I399" s="92">
        <f t="shared" si="15"/>
        <v>0.16</v>
      </c>
      <c r="J399" s="92">
        <f t="shared" si="14"/>
        <v>0.1</v>
      </c>
      <c r="K399" s="58">
        <v>19</v>
      </c>
      <c r="L399" s="58">
        <v>44</v>
      </c>
      <c r="M399" s="58">
        <v>937</v>
      </c>
      <c r="N399" s="101">
        <v>1.53</v>
      </c>
      <c r="O399" s="33">
        <v>2</v>
      </c>
      <c r="P399" s="105">
        <v>7.3000000000000001E-3</v>
      </c>
      <c r="Q399" s="113">
        <v>0.01</v>
      </c>
      <c r="R399" s="105">
        <v>3.5400000000000001E-2</v>
      </c>
      <c r="S399" s="109">
        <v>13.92</v>
      </c>
      <c r="T399" s="109">
        <v>1263.5</v>
      </c>
      <c r="U399" s="109">
        <v>3491.91</v>
      </c>
      <c r="V399" s="43">
        <v>1.0495000000000001</v>
      </c>
      <c r="W399" s="44">
        <v>5.1000000000000004E-3</v>
      </c>
    </row>
    <row r="400" spans="1:23" x14ac:dyDescent="0.25">
      <c r="A400" s="80">
        <v>3</v>
      </c>
      <c r="B400" s="81" t="s">
        <v>17</v>
      </c>
      <c r="C400" s="82" t="s">
        <v>438</v>
      </c>
      <c r="D400" s="51">
        <v>0</v>
      </c>
      <c r="E400" s="92">
        <v>71.400000000000006</v>
      </c>
      <c r="F400" s="92">
        <v>41.36</v>
      </c>
      <c r="G400" s="92">
        <v>71.430000000000007</v>
      </c>
      <c r="H400" s="92">
        <v>24.5</v>
      </c>
      <c r="I400" s="92">
        <f t="shared" si="15"/>
        <v>0.12</v>
      </c>
      <c r="J400" s="92">
        <f t="shared" si="14"/>
        <v>7.0000000000000007E-2</v>
      </c>
      <c r="K400" s="58">
        <v>19</v>
      </c>
      <c r="L400" s="58">
        <v>44</v>
      </c>
      <c r="M400" s="58">
        <v>937</v>
      </c>
      <c r="N400" s="101">
        <v>1.53</v>
      </c>
      <c r="O400" s="33">
        <v>2</v>
      </c>
      <c r="P400" s="105">
        <v>3.3700000000000001E-2</v>
      </c>
      <c r="Q400" s="113">
        <v>0</v>
      </c>
      <c r="R400" s="105">
        <v>1.9E-3</v>
      </c>
      <c r="S400" s="109">
        <v>13.92</v>
      </c>
      <c r="T400" s="109">
        <v>1263.5</v>
      </c>
      <c r="U400" s="109">
        <v>3491.91</v>
      </c>
      <c r="V400" s="43">
        <v>1.0495000000000001</v>
      </c>
      <c r="W400" s="44">
        <v>5.1000000000000004E-3</v>
      </c>
    </row>
    <row r="401" spans="1:23" x14ac:dyDescent="0.25">
      <c r="A401" s="80">
        <v>3</v>
      </c>
      <c r="B401" s="81" t="s">
        <v>17</v>
      </c>
      <c r="C401" s="82" t="s">
        <v>439</v>
      </c>
      <c r="D401" s="51">
        <v>0</v>
      </c>
      <c r="E401" s="92">
        <v>71.400000000000006</v>
      </c>
      <c r="F401" s="92">
        <v>41.36</v>
      </c>
      <c r="G401" s="92">
        <v>71.430000000000007</v>
      </c>
      <c r="H401" s="92">
        <v>24.5</v>
      </c>
      <c r="I401" s="92">
        <f t="shared" si="15"/>
        <v>0.12</v>
      </c>
      <c r="J401" s="92">
        <f t="shared" si="14"/>
        <v>7.0000000000000007E-2</v>
      </c>
      <c r="K401" s="58">
        <v>19</v>
      </c>
      <c r="L401" s="58">
        <v>44</v>
      </c>
      <c r="M401" s="58">
        <v>937</v>
      </c>
      <c r="N401" s="101">
        <v>1.53</v>
      </c>
      <c r="O401" s="33">
        <v>2</v>
      </c>
      <c r="P401" s="105">
        <v>9.9000000000000008E-3</v>
      </c>
      <c r="Q401" s="113">
        <v>0</v>
      </c>
      <c r="R401" s="105">
        <v>8.0199999999999994E-2</v>
      </c>
      <c r="S401" s="109">
        <v>13.92</v>
      </c>
      <c r="T401" s="109">
        <v>1263.5</v>
      </c>
      <c r="U401" s="109">
        <v>3491.91</v>
      </c>
      <c r="V401" s="43">
        <v>1.0495000000000001</v>
      </c>
      <c r="W401" s="44">
        <v>5.1000000000000004E-3</v>
      </c>
    </row>
    <row r="402" spans="1:23" x14ac:dyDescent="0.25">
      <c r="A402" s="80">
        <v>3</v>
      </c>
      <c r="B402" s="81" t="s">
        <v>17</v>
      </c>
      <c r="C402" s="82" t="s">
        <v>440</v>
      </c>
      <c r="D402" s="51">
        <v>0</v>
      </c>
      <c r="E402" s="92">
        <v>71.400000000000006</v>
      </c>
      <c r="F402" s="92">
        <v>41.36</v>
      </c>
      <c r="G402" s="92">
        <v>71.42</v>
      </c>
      <c r="H402" s="92">
        <v>24.5</v>
      </c>
      <c r="I402" s="92">
        <f t="shared" si="15"/>
        <v>0.08</v>
      </c>
      <c r="J402" s="92">
        <f t="shared" si="14"/>
        <v>0.05</v>
      </c>
      <c r="K402" s="58">
        <v>19</v>
      </c>
      <c r="L402" s="58">
        <v>44</v>
      </c>
      <c r="M402" s="58">
        <v>937</v>
      </c>
      <c r="N402" s="101">
        <v>1.53</v>
      </c>
      <c r="O402" s="33">
        <v>2</v>
      </c>
      <c r="P402" s="105">
        <v>1.44E-2</v>
      </c>
      <c r="Q402" s="113">
        <v>0</v>
      </c>
      <c r="R402" s="105">
        <v>0</v>
      </c>
      <c r="S402" s="109">
        <v>13.92</v>
      </c>
      <c r="T402" s="109">
        <v>1263.5</v>
      </c>
      <c r="U402" s="109">
        <v>3491.91</v>
      </c>
      <c r="V402" s="43">
        <v>1.0495000000000001</v>
      </c>
      <c r="W402" s="44">
        <v>5.1000000000000004E-3</v>
      </c>
    </row>
    <row r="403" spans="1:23" x14ac:dyDescent="0.25">
      <c r="A403" s="80">
        <v>3</v>
      </c>
      <c r="B403" s="81" t="s">
        <v>17</v>
      </c>
      <c r="C403" s="82" t="s">
        <v>441</v>
      </c>
      <c r="D403" s="51">
        <v>0</v>
      </c>
      <c r="E403" s="92">
        <v>71.400000000000006</v>
      </c>
      <c r="F403" s="92">
        <v>41.36</v>
      </c>
      <c r="G403" s="92">
        <v>71.42</v>
      </c>
      <c r="H403" s="92">
        <v>24.5</v>
      </c>
      <c r="I403" s="92">
        <f t="shared" si="15"/>
        <v>0.08</v>
      </c>
      <c r="J403" s="92">
        <f t="shared" si="14"/>
        <v>0.05</v>
      </c>
      <c r="K403" s="58">
        <v>19</v>
      </c>
      <c r="L403" s="58">
        <v>44</v>
      </c>
      <c r="M403" s="58">
        <v>937</v>
      </c>
      <c r="N403" s="101">
        <v>1.53</v>
      </c>
      <c r="O403" s="33">
        <v>2</v>
      </c>
      <c r="P403" s="105">
        <v>1.12E-2</v>
      </c>
      <c r="Q403" s="113">
        <v>0</v>
      </c>
      <c r="R403" s="105">
        <v>0</v>
      </c>
      <c r="S403" s="109">
        <v>13.92</v>
      </c>
      <c r="T403" s="109">
        <v>1263.5</v>
      </c>
      <c r="U403" s="109">
        <v>3491.91</v>
      </c>
      <c r="V403" s="43">
        <v>1.0495000000000001</v>
      </c>
      <c r="W403" s="44">
        <v>5.1000000000000004E-3</v>
      </c>
    </row>
    <row r="404" spans="1:23" x14ac:dyDescent="0.25">
      <c r="A404" s="80">
        <v>3</v>
      </c>
      <c r="B404" s="81" t="s">
        <v>17</v>
      </c>
      <c r="C404" s="82" t="s">
        <v>442</v>
      </c>
      <c r="D404" s="51">
        <v>0</v>
      </c>
      <c r="E404" s="92">
        <v>71.400000000000006</v>
      </c>
      <c r="F404" s="92">
        <v>41.36</v>
      </c>
      <c r="G404" s="92">
        <v>71.41</v>
      </c>
      <c r="H404" s="92">
        <v>24.5</v>
      </c>
      <c r="I404" s="92">
        <f t="shared" si="15"/>
        <v>0.04</v>
      </c>
      <c r="J404" s="92">
        <f t="shared" si="14"/>
        <v>0.02</v>
      </c>
      <c r="K404" s="58">
        <v>19</v>
      </c>
      <c r="L404" s="58">
        <v>44</v>
      </c>
      <c r="M404" s="58">
        <v>937</v>
      </c>
      <c r="N404" s="101">
        <v>1.53</v>
      </c>
      <c r="O404" s="33">
        <v>2</v>
      </c>
      <c r="P404" s="105">
        <v>1.8100000000000002E-2</v>
      </c>
      <c r="Q404" s="113">
        <v>0.01</v>
      </c>
      <c r="R404" s="105">
        <v>0</v>
      </c>
      <c r="S404" s="109">
        <v>13.92</v>
      </c>
      <c r="T404" s="109">
        <v>1263.5</v>
      </c>
      <c r="U404" s="109">
        <v>3491.91</v>
      </c>
      <c r="V404" s="43">
        <v>1.0495000000000001</v>
      </c>
      <c r="W404" s="44">
        <v>5.1000000000000004E-3</v>
      </c>
    </row>
    <row r="405" spans="1:23" x14ac:dyDescent="0.25">
      <c r="A405" s="80">
        <v>3</v>
      </c>
      <c r="B405" s="81" t="s">
        <v>17</v>
      </c>
      <c r="C405" s="82" t="s">
        <v>443</v>
      </c>
      <c r="D405" s="51">
        <v>0</v>
      </c>
      <c r="E405" s="92">
        <v>71.400000000000006</v>
      </c>
      <c r="F405" s="92">
        <v>41.36</v>
      </c>
      <c r="G405" s="92">
        <v>71.41</v>
      </c>
      <c r="H405" s="92">
        <v>24.5</v>
      </c>
      <c r="I405" s="92">
        <f t="shared" si="15"/>
        <v>0.04</v>
      </c>
      <c r="J405" s="92">
        <f t="shared" si="14"/>
        <v>0.02</v>
      </c>
      <c r="K405" s="58">
        <v>19</v>
      </c>
      <c r="L405" s="58">
        <v>44</v>
      </c>
      <c r="M405" s="58">
        <v>937</v>
      </c>
      <c r="N405" s="101">
        <v>1.53</v>
      </c>
      <c r="O405" s="33">
        <v>2</v>
      </c>
      <c r="P405" s="105">
        <v>1.41E-2</v>
      </c>
      <c r="Q405" s="113">
        <v>0.01</v>
      </c>
      <c r="R405" s="105">
        <v>3.7000000000000002E-3</v>
      </c>
      <c r="S405" s="109">
        <v>13.92</v>
      </c>
      <c r="T405" s="109">
        <v>1263.5</v>
      </c>
      <c r="U405" s="109">
        <v>3491.91</v>
      </c>
      <c r="V405" s="43">
        <v>1.0495000000000001</v>
      </c>
      <c r="W405" s="44">
        <v>5.1000000000000004E-3</v>
      </c>
    </row>
    <row r="406" spans="1:23" ht="15.75" thickBot="1" x14ac:dyDescent="0.3">
      <c r="A406" s="87">
        <v>3</v>
      </c>
      <c r="B406" s="88" t="s">
        <v>17</v>
      </c>
      <c r="C406" s="89" t="s">
        <v>444</v>
      </c>
      <c r="D406" s="90">
        <v>0</v>
      </c>
      <c r="E406" s="95">
        <v>71.400000000000006</v>
      </c>
      <c r="F406" s="95">
        <v>41.36</v>
      </c>
      <c r="G406" s="95">
        <v>71.400000000000006</v>
      </c>
      <c r="H406" s="95">
        <v>24.5</v>
      </c>
      <c r="I406" s="95">
        <f>100*(G406-E406)/H406</f>
        <v>0</v>
      </c>
      <c r="J406" s="95">
        <f t="shared" si="14"/>
        <v>0</v>
      </c>
      <c r="K406" s="98">
        <v>19</v>
      </c>
      <c r="L406" s="98">
        <v>44</v>
      </c>
      <c r="M406" s="98">
        <v>937</v>
      </c>
      <c r="N406" s="103">
        <v>1.53</v>
      </c>
      <c r="O406" s="36">
        <v>2</v>
      </c>
      <c r="P406" s="107">
        <v>0</v>
      </c>
      <c r="Q406" s="115">
        <v>0</v>
      </c>
      <c r="R406" s="107">
        <v>0</v>
      </c>
      <c r="S406" s="111">
        <v>13.92</v>
      </c>
      <c r="T406" s="111">
        <v>1263.5</v>
      </c>
      <c r="U406" s="111">
        <v>3491.91</v>
      </c>
      <c r="V406" s="47">
        <v>1.0495000000000001</v>
      </c>
      <c r="W406" s="48">
        <v>5.1000000000000004E-3</v>
      </c>
    </row>
    <row r="407" spans="1:23" x14ac:dyDescent="0.25">
      <c r="E407" s="25"/>
      <c r="F407" s="25"/>
      <c r="G407" s="25"/>
      <c r="H407" s="25"/>
      <c r="I407" s="25"/>
      <c r="J407" s="25"/>
      <c r="K407" s="25"/>
      <c r="L407" s="25"/>
      <c r="M407" s="25"/>
    </row>
    <row r="408" spans="1:23" x14ac:dyDescent="0.25">
      <c r="E408" s="25"/>
      <c r="F408" s="25"/>
      <c r="G408" s="25"/>
      <c r="H408" s="25"/>
      <c r="I408" s="25"/>
      <c r="J408" s="25"/>
      <c r="K408" s="25"/>
      <c r="L408" s="25"/>
      <c r="M408" s="25"/>
    </row>
    <row r="409" spans="1:23" x14ac:dyDescent="0.25">
      <c r="E409" s="25"/>
      <c r="F409" s="25"/>
      <c r="G409" s="25"/>
      <c r="H409" s="25"/>
      <c r="I409" s="25"/>
      <c r="J409" s="25"/>
      <c r="K409" s="25"/>
      <c r="L409" s="25"/>
      <c r="M409" s="25"/>
    </row>
    <row r="410" spans="1:23" x14ac:dyDescent="0.25">
      <c r="E410" s="25"/>
      <c r="F410" s="25"/>
      <c r="G410" s="25"/>
      <c r="H410" s="25"/>
      <c r="I410" s="25"/>
      <c r="J410" s="25"/>
      <c r="K410" s="25"/>
      <c r="L410" s="25"/>
      <c r="M410" s="25"/>
    </row>
    <row r="411" spans="1:23" x14ac:dyDescent="0.25">
      <c r="E411" s="25"/>
      <c r="F411" s="25"/>
      <c r="G411" s="25"/>
      <c r="H411" s="25"/>
      <c r="I411" s="25"/>
      <c r="J411" s="25"/>
      <c r="K411" s="25"/>
      <c r="L411" s="25"/>
      <c r="M411" s="25"/>
    </row>
    <row r="412" spans="1:23" x14ac:dyDescent="0.25">
      <c r="E412" s="25"/>
      <c r="F412" s="25"/>
      <c r="G412" s="25"/>
      <c r="H412" s="25"/>
      <c r="I412" s="25"/>
      <c r="J412" s="25"/>
      <c r="K412" s="25"/>
      <c r="L412" s="25"/>
      <c r="M412" s="25"/>
    </row>
    <row r="413" spans="1:23" x14ac:dyDescent="0.25">
      <c r="E413" s="25"/>
      <c r="F413" s="25"/>
      <c r="G413" s="25"/>
      <c r="H413" s="25"/>
      <c r="I413" s="25"/>
      <c r="J413" s="25"/>
      <c r="K413" s="25"/>
      <c r="L413" s="25"/>
      <c r="M413" s="25"/>
    </row>
    <row r="414" spans="1:23" x14ac:dyDescent="0.25">
      <c r="E414" s="25"/>
      <c r="F414" s="25"/>
      <c r="G414" s="25"/>
      <c r="H414" s="25"/>
      <c r="I414" s="25"/>
      <c r="J414" s="25"/>
      <c r="K414" s="25"/>
      <c r="L414" s="25"/>
      <c r="M414" s="25"/>
    </row>
    <row r="415" spans="1:23" x14ac:dyDescent="0.25">
      <c r="E415" s="25"/>
      <c r="F415" s="25"/>
      <c r="G415" s="25"/>
      <c r="H415" s="25"/>
      <c r="I415" s="25"/>
      <c r="J415" s="25"/>
      <c r="K415" s="25"/>
      <c r="L415" s="25"/>
      <c r="M415" s="25"/>
    </row>
    <row r="416" spans="1:23" x14ac:dyDescent="0.25">
      <c r="E416" s="25"/>
      <c r="F416" s="25"/>
      <c r="G416" s="25"/>
      <c r="H416" s="25"/>
      <c r="I416" s="25"/>
      <c r="J416" s="25"/>
      <c r="K416" s="25"/>
      <c r="L416" s="25"/>
      <c r="M416" s="25"/>
    </row>
    <row r="417" spans="5:13" x14ac:dyDescent="0.25">
      <c r="E417" s="25"/>
      <c r="F417" s="25"/>
      <c r="G417" s="25"/>
      <c r="H417" s="25"/>
      <c r="I417" s="25"/>
      <c r="J417" s="25"/>
      <c r="K417" s="25"/>
      <c r="L417" s="25"/>
      <c r="M417" s="25"/>
    </row>
    <row r="418" spans="5:13" x14ac:dyDescent="0.25">
      <c r="E418" s="25"/>
      <c r="F418" s="25"/>
      <c r="G418" s="25"/>
      <c r="H418" s="25"/>
      <c r="I418" s="25"/>
      <c r="J418" s="25"/>
      <c r="K418" s="25"/>
      <c r="L418" s="25"/>
      <c r="M418" s="25"/>
    </row>
    <row r="419" spans="5:13" x14ac:dyDescent="0.25">
      <c r="E419" s="25"/>
      <c r="F419" s="25"/>
      <c r="G419" s="25"/>
      <c r="H419" s="25"/>
      <c r="I419" s="25"/>
      <c r="J419" s="25"/>
      <c r="K419" s="25"/>
      <c r="L419" s="25"/>
      <c r="M419" s="25"/>
    </row>
    <row r="420" spans="5:13" x14ac:dyDescent="0.25">
      <c r="E420" s="25"/>
      <c r="F420" s="25"/>
      <c r="G420" s="25"/>
      <c r="H420" s="25"/>
      <c r="I420" s="25"/>
      <c r="J420" s="25"/>
      <c r="K420" s="25"/>
      <c r="L420" s="25"/>
      <c r="M420" s="25"/>
    </row>
    <row r="421" spans="5:13" x14ac:dyDescent="0.25">
      <c r="E421" s="25"/>
      <c r="F421" s="25"/>
      <c r="G421" s="25"/>
      <c r="H421" s="25"/>
      <c r="I421" s="25"/>
      <c r="J421" s="25"/>
      <c r="K421" s="25"/>
      <c r="L421" s="25"/>
      <c r="M421" s="25"/>
    </row>
    <row r="422" spans="5:13" x14ac:dyDescent="0.25">
      <c r="E422" s="25"/>
      <c r="F422" s="25"/>
      <c r="G422" s="25"/>
      <c r="H422" s="25"/>
      <c r="I422" s="25"/>
      <c r="J422" s="25"/>
      <c r="K422" s="25"/>
      <c r="L422" s="25"/>
      <c r="M422" s="25"/>
    </row>
    <row r="423" spans="5:13" x14ac:dyDescent="0.25">
      <c r="E423" s="25"/>
      <c r="F423" s="25"/>
      <c r="G423" s="25"/>
      <c r="H423" s="25"/>
      <c r="I423" s="25"/>
      <c r="J423" s="25"/>
      <c r="K423" s="25"/>
      <c r="L423" s="25"/>
      <c r="M423" s="25"/>
    </row>
    <row r="424" spans="5:13" x14ac:dyDescent="0.25">
      <c r="E424" s="25"/>
      <c r="F424" s="25"/>
      <c r="G424" s="25"/>
      <c r="H424" s="25"/>
      <c r="I424" s="25"/>
      <c r="J424" s="25"/>
      <c r="K424" s="25"/>
      <c r="L424" s="25"/>
      <c r="M424" s="25"/>
    </row>
    <row r="425" spans="5:13" x14ac:dyDescent="0.25">
      <c r="E425" s="25"/>
      <c r="F425" s="25"/>
      <c r="G425" s="25"/>
      <c r="H425" s="25"/>
      <c r="I425" s="25"/>
      <c r="J425" s="25"/>
      <c r="K425" s="25"/>
      <c r="L425" s="25"/>
      <c r="M425" s="25"/>
    </row>
    <row r="426" spans="5:13" x14ac:dyDescent="0.25">
      <c r="E426" s="25"/>
      <c r="F426" s="25"/>
      <c r="G426" s="25"/>
      <c r="H426" s="25"/>
      <c r="I426" s="25"/>
      <c r="J426" s="25"/>
      <c r="K426" s="25"/>
      <c r="L426" s="25"/>
      <c r="M426" s="25"/>
    </row>
    <row r="427" spans="5:13" x14ac:dyDescent="0.25">
      <c r="E427" s="25"/>
      <c r="F427" s="25"/>
      <c r="G427" s="25"/>
      <c r="H427" s="25"/>
      <c r="I427" s="25"/>
      <c r="J427" s="25"/>
      <c r="K427" s="25"/>
      <c r="L427" s="25"/>
      <c r="M427" s="25"/>
    </row>
    <row r="428" spans="5:13" x14ac:dyDescent="0.25">
      <c r="E428" s="25"/>
      <c r="F428" s="25"/>
      <c r="G428" s="25"/>
      <c r="H428" s="25"/>
      <c r="I428" s="25"/>
      <c r="J428" s="25"/>
      <c r="K428" s="25"/>
      <c r="L428" s="25"/>
      <c r="M428" s="25"/>
    </row>
    <row r="429" spans="5:13" x14ac:dyDescent="0.25">
      <c r="E429" s="25"/>
      <c r="F429" s="25"/>
      <c r="G429" s="25"/>
      <c r="H429" s="25"/>
      <c r="I429" s="25"/>
      <c r="J429" s="25"/>
      <c r="K429" s="25"/>
      <c r="L429" s="25"/>
      <c r="M429" s="25"/>
    </row>
    <row r="430" spans="5:13" x14ac:dyDescent="0.25">
      <c r="E430" s="25"/>
      <c r="F430" s="25"/>
      <c r="G430" s="25"/>
      <c r="H430" s="25"/>
      <c r="I430" s="25"/>
      <c r="J430" s="25"/>
      <c r="K430" s="25"/>
      <c r="L430" s="25"/>
      <c r="M430" s="25"/>
    </row>
    <row r="431" spans="5:13" x14ac:dyDescent="0.25">
      <c r="E431" s="25"/>
      <c r="F431" s="25"/>
      <c r="G431" s="25"/>
      <c r="H431" s="25"/>
      <c r="I431" s="25"/>
      <c r="J431" s="25"/>
      <c r="K431" s="25"/>
      <c r="L431" s="25"/>
      <c r="M431" s="25"/>
    </row>
    <row r="432" spans="5:13" x14ac:dyDescent="0.25">
      <c r="E432" s="25"/>
      <c r="F432" s="25"/>
      <c r="G432" s="25"/>
      <c r="H432" s="25"/>
      <c r="I432" s="25"/>
      <c r="J432" s="25"/>
      <c r="K432" s="25"/>
      <c r="L432" s="25"/>
      <c r="M432" s="25"/>
    </row>
    <row r="433" spans="5:13" x14ac:dyDescent="0.25">
      <c r="E433" s="25"/>
      <c r="F433" s="25"/>
      <c r="G433" s="25"/>
      <c r="H433" s="25"/>
      <c r="I433" s="25"/>
      <c r="J433" s="25"/>
      <c r="K433" s="25"/>
      <c r="L433" s="25"/>
      <c r="M433" s="25"/>
    </row>
    <row r="434" spans="5:13" x14ac:dyDescent="0.25">
      <c r="E434" s="25"/>
      <c r="F434" s="25"/>
      <c r="G434" s="25"/>
      <c r="H434" s="25"/>
      <c r="I434" s="25"/>
      <c r="J434" s="25"/>
      <c r="K434" s="25"/>
      <c r="L434" s="25"/>
      <c r="M434" s="25"/>
    </row>
    <row r="435" spans="5:13" x14ac:dyDescent="0.25">
      <c r="E435" s="25"/>
      <c r="F435" s="25"/>
      <c r="G435" s="25"/>
      <c r="H435" s="25"/>
      <c r="I435" s="25"/>
      <c r="J435" s="25"/>
      <c r="K435" s="25"/>
      <c r="L435" s="25"/>
      <c r="M435" s="25"/>
    </row>
    <row r="436" spans="5:13" x14ac:dyDescent="0.25">
      <c r="E436" s="25"/>
      <c r="F436" s="25"/>
      <c r="G436" s="25"/>
      <c r="H436" s="25"/>
      <c r="I436" s="25"/>
      <c r="J436" s="25"/>
      <c r="K436" s="25"/>
      <c r="L436" s="25"/>
      <c r="M436" s="25"/>
    </row>
    <row r="437" spans="5:13" x14ac:dyDescent="0.25">
      <c r="E437" s="25"/>
      <c r="F437" s="25"/>
      <c r="G437" s="25"/>
      <c r="H437" s="25"/>
      <c r="I437" s="25"/>
      <c r="J437" s="25"/>
      <c r="K437" s="25"/>
      <c r="L437" s="25"/>
      <c r="M437" s="25"/>
    </row>
    <row r="438" spans="5:13" x14ac:dyDescent="0.25">
      <c r="E438" s="25"/>
      <c r="F438" s="25"/>
      <c r="G438" s="25"/>
      <c r="H438" s="25"/>
      <c r="I438" s="25"/>
      <c r="J438" s="25"/>
      <c r="K438" s="25"/>
      <c r="L438" s="25"/>
      <c r="M438" s="25"/>
    </row>
    <row r="439" spans="5:13" x14ac:dyDescent="0.25">
      <c r="E439" s="25"/>
      <c r="F439" s="25"/>
      <c r="G439" s="25"/>
      <c r="H439" s="25"/>
      <c r="I439" s="25"/>
      <c r="J439" s="25"/>
      <c r="K439" s="25"/>
      <c r="L439" s="25"/>
      <c r="M439" s="25"/>
    </row>
    <row r="440" spans="5:13" x14ac:dyDescent="0.25">
      <c r="E440" s="25"/>
      <c r="F440" s="25"/>
      <c r="G440" s="25"/>
      <c r="H440" s="25"/>
      <c r="I440" s="25"/>
      <c r="J440" s="25"/>
      <c r="K440" s="25"/>
      <c r="L440" s="25"/>
      <c r="M440" s="25"/>
    </row>
    <row r="441" spans="5:13" x14ac:dyDescent="0.25">
      <c r="E441" s="25"/>
      <c r="F441" s="25"/>
      <c r="G441" s="25"/>
      <c r="H441" s="25"/>
      <c r="I441" s="25"/>
      <c r="J441" s="25"/>
      <c r="K441" s="25"/>
      <c r="L441" s="25"/>
      <c r="M441" s="25"/>
    </row>
    <row r="442" spans="5:13" x14ac:dyDescent="0.25">
      <c r="E442" s="25"/>
      <c r="F442" s="25"/>
      <c r="G442" s="25"/>
      <c r="H442" s="25"/>
      <c r="I442" s="25"/>
      <c r="J442" s="25"/>
      <c r="K442" s="25"/>
      <c r="L442" s="25"/>
      <c r="M442" s="25"/>
    </row>
    <row r="443" spans="5:13" x14ac:dyDescent="0.25">
      <c r="E443" s="25"/>
      <c r="F443" s="25"/>
      <c r="G443" s="25"/>
      <c r="H443" s="25"/>
      <c r="I443" s="25"/>
      <c r="J443" s="25"/>
      <c r="K443" s="25"/>
      <c r="L443" s="25"/>
      <c r="M443" s="25"/>
    </row>
    <row r="444" spans="5:13" x14ac:dyDescent="0.25">
      <c r="E444" s="25"/>
      <c r="F444" s="25"/>
      <c r="G444" s="25"/>
      <c r="H444" s="25"/>
      <c r="I444" s="25"/>
      <c r="J444" s="25"/>
      <c r="K444" s="25"/>
      <c r="L444" s="25"/>
      <c r="M444" s="25"/>
    </row>
    <row r="445" spans="5:13" x14ac:dyDescent="0.25">
      <c r="E445" s="25"/>
      <c r="F445" s="25"/>
      <c r="G445" s="25"/>
      <c r="H445" s="25"/>
      <c r="I445" s="25"/>
      <c r="J445" s="25"/>
      <c r="K445" s="25"/>
      <c r="L445" s="25"/>
      <c r="M445" s="25"/>
    </row>
    <row r="446" spans="5:13" x14ac:dyDescent="0.25">
      <c r="E446" s="25"/>
      <c r="F446" s="25"/>
      <c r="G446" s="25"/>
      <c r="H446" s="25"/>
      <c r="I446" s="25"/>
      <c r="J446" s="25"/>
      <c r="K446" s="25"/>
      <c r="L446" s="25"/>
      <c r="M446" s="25"/>
    </row>
    <row r="447" spans="5:13" x14ac:dyDescent="0.25">
      <c r="E447" s="25"/>
      <c r="F447" s="25"/>
      <c r="G447" s="25"/>
      <c r="H447" s="25"/>
      <c r="I447" s="25"/>
      <c r="J447" s="25"/>
      <c r="K447" s="25"/>
      <c r="L447" s="25"/>
      <c r="M447" s="25"/>
    </row>
    <row r="448" spans="5:13" x14ac:dyDescent="0.25">
      <c r="E448" s="25"/>
      <c r="F448" s="25"/>
      <c r="G448" s="25"/>
      <c r="H448" s="25"/>
      <c r="I448" s="25"/>
      <c r="J448" s="25"/>
      <c r="K448" s="25"/>
      <c r="L448" s="25"/>
      <c r="M448" s="25"/>
    </row>
    <row r="449" spans="5:13" x14ac:dyDescent="0.25">
      <c r="E449" s="25"/>
      <c r="F449" s="25"/>
      <c r="G449" s="25"/>
      <c r="H449" s="25"/>
      <c r="I449" s="25"/>
      <c r="J449" s="25"/>
      <c r="K449" s="25"/>
      <c r="L449" s="25"/>
      <c r="M449" s="25"/>
    </row>
    <row r="450" spans="5:13" x14ac:dyDescent="0.25">
      <c r="E450" s="25"/>
      <c r="F450" s="25"/>
      <c r="G450" s="25"/>
      <c r="H450" s="25"/>
      <c r="I450" s="25"/>
      <c r="J450" s="25"/>
      <c r="K450" s="25"/>
      <c r="L450" s="25"/>
      <c r="M450" s="25"/>
    </row>
    <row r="451" spans="5:13" x14ac:dyDescent="0.25">
      <c r="E451" s="25"/>
      <c r="F451" s="25"/>
      <c r="G451" s="25"/>
      <c r="H451" s="25"/>
      <c r="I451" s="25"/>
      <c r="J451" s="25"/>
      <c r="K451" s="25"/>
      <c r="L451" s="25"/>
      <c r="M451" s="25"/>
    </row>
    <row r="452" spans="5:13" x14ac:dyDescent="0.25">
      <c r="E452" s="25"/>
      <c r="F452" s="25"/>
      <c r="G452" s="25"/>
      <c r="H452" s="25"/>
      <c r="I452" s="25"/>
      <c r="J452" s="25"/>
      <c r="K452" s="25"/>
      <c r="L452" s="25"/>
      <c r="M452" s="25"/>
    </row>
    <row r="453" spans="5:13" x14ac:dyDescent="0.25">
      <c r="E453" s="25"/>
      <c r="F453" s="25"/>
      <c r="G453" s="25"/>
      <c r="H453" s="25"/>
      <c r="I453" s="25"/>
      <c r="J453" s="25"/>
      <c r="K453" s="25"/>
      <c r="L453" s="25"/>
      <c r="M453" s="25"/>
    </row>
    <row r="454" spans="5:13" x14ac:dyDescent="0.25">
      <c r="E454" s="25"/>
      <c r="F454" s="25"/>
      <c r="G454" s="25"/>
      <c r="H454" s="25"/>
      <c r="I454" s="25"/>
      <c r="J454" s="25"/>
      <c r="K454" s="25"/>
      <c r="L454" s="25"/>
      <c r="M454" s="25"/>
    </row>
    <row r="455" spans="5:13" x14ac:dyDescent="0.25">
      <c r="E455" s="25"/>
      <c r="F455" s="25"/>
      <c r="G455" s="25"/>
      <c r="H455" s="25"/>
      <c r="I455" s="25"/>
      <c r="J455" s="25"/>
      <c r="K455" s="25"/>
      <c r="L455" s="25"/>
      <c r="M455" s="25"/>
    </row>
    <row r="456" spans="5:13" x14ac:dyDescent="0.25">
      <c r="E456" s="25"/>
      <c r="F456" s="25"/>
      <c r="G456" s="25"/>
      <c r="H456" s="25"/>
      <c r="I456" s="25"/>
      <c r="J456" s="25"/>
      <c r="K456" s="25"/>
      <c r="L456" s="25"/>
      <c r="M456" s="25"/>
    </row>
    <row r="457" spans="5:13" x14ac:dyDescent="0.25">
      <c r="E457" s="25"/>
      <c r="F457" s="25"/>
      <c r="G457" s="25"/>
      <c r="H457" s="25"/>
      <c r="I457" s="25"/>
      <c r="J457" s="25"/>
      <c r="K457" s="25"/>
      <c r="L457" s="25"/>
      <c r="M457" s="25"/>
    </row>
    <row r="458" spans="5:13" x14ac:dyDescent="0.25">
      <c r="E458" s="25"/>
      <c r="F458" s="25"/>
      <c r="G458" s="25"/>
      <c r="H458" s="25"/>
      <c r="I458" s="25"/>
      <c r="J458" s="25"/>
      <c r="K458" s="25"/>
      <c r="L458" s="25"/>
      <c r="M458" s="25"/>
    </row>
    <row r="459" spans="5:13" x14ac:dyDescent="0.25">
      <c r="E459" s="25"/>
      <c r="F459" s="25"/>
      <c r="G459" s="25"/>
      <c r="H459" s="25"/>
      <c r="I459" s="25"/>
      <c r="J459" s="25"/>
      <c r="K459" s="25"/>
      <c r="L459" s="25"/>
      <c r="M459" s="25"/>
    </row>
    <row r="460" spans="5:13" x14ac:dyDescent="0.25">
      <c r="E460" s="25"/>
      <c r="F460" s="25"/>
      <c r="G460" s="25"/>
      <c r="H460" s="25"/>
      <c r="I460" s="25"/>
      <c r="J460" s="25"/>
      <c r="K460" s="25"/>
      <c r="L460" s="25"/>
      <c r="M460" s="25"/>
    </row>
    <row r="461" spans="5:13" x14ac:dyDescent="0.25">
      <c r="E461" s="25"/>
      <c r="F461" s="25"/>
      <c r="G461" s="25"/>
      <c r="H461" s="25"/>
      <c r="I461" s="25"/>
      <c r="J461" s="25"/>
      <c r="K461" s="25"/>
      <c r="L461" s="25"/>
      <c r="M461" s="25"/>
    </row>
    <row r="462" spans="5:13" x14ac:dyDescent="0.25">
      <c r="E462" s="25"/>
      <c r="F462" s="25"/>
      <c r="G462" s="25"/>
      <c r="H462" s="25"/>
      <c r="I462" s="25"/>
      <c r="J462" s="25"/>
      <c r="K462" s="25"/>
      <c r="L462" s="25"/>
      <c r="M462" s="25"/>
    </row>
    <row r="463" spans="5:13" x14ac:dyDescent="0.25">
      <c r="E463" s="25"/>
      <c r="F463" s="25"/>
      <c r="G463" s="25"/>
      <c r="H463" s="25"/>
      <c r="I463" s="25"/>
      <c r="J463" s="25"/>
      <c r="K463" s="25"/>
      <c r="L463" s="25"/>
      <c r="M463" s="25"/>
    </row>
    <row r="464" spans="5:13" x14ac:dyDescent="0.25">
      <c r="E464" s="25"/>
      <c r="F464" s="25"/>
      <c r="G464" s="25"/>
      <c r="H464" s="25"/>
      <c r="I464" s="25"/>
      <c r="J464" s="25"/>
      <c r="K464" s="25"/>
      <c r="L464" s="25"/>
      <c r="M464" s="25"/>
    </row>
    <row r="465" spans="5:13" x14ac:dyDescent="0.25">
      <c r="E465" s="25"/>
      <c r="F465" s="25"/>
      <c r="G465" s="25"/>
      <c r="H465" s="25"/>
      <c r="I465" s="25"/>
      <c r="J465" s="25"/>
      <c r="K465" s="25"/>
      <c r="L465" s="25"/>
      <c r="M465" s="25"/>
    </row>
    <row r="466" spans="5:13" x14ac:dyDescent="0.25">
      <c r="E466" s="25"/>
      <c r="F466" s="25"/>
      <c r="G466" s="25"/>
      <c r="H466" s="25"/>
      <c r="I466" s="25"/>
      <c r="J466" s="25"/>
      <c r="K466" s="25"/>
      <c r="L466" s="25"/>
      <c r="M466" s="25"/>
    </row>
    <row r="467" spans="5:13" x14ac:dyDescent="0.25">
      <c r="E467" s="25"/>
      <c r="F467" s="25"/>
      <c r="G467" s="25"/>
      <c r="H467" s="25"/>
      <c r="I467" s="25"/>
      <c r="J467" s="25"/>
      <c r="K467" s="25"/>
      <c r="L467" s="25"/>
      <c r="M467" s="25"/>
    </row>
    <row r="468" spans="5:13" x14ac:dyDescent="0.25">
      <c r="E468" s="25"/>
      <c r="F468" s="25"/>
      <c r="G468" s="25"/>
      <c r="H468" s="25"/>
      <c r="I468" s="25"/>
      <c r="J468" s="25"/>
      <c r="K468" s="25"/>
      <c r="L468" s="25"/>
      <c r="M468" s="25"/>
    </row>
    <row r="469" spans="5:13" x14ac:dyDescent="0.25">
      <c r="E469" s="25"/>
      <c r="F469" s="25"/>
      <c r="G469" s="25"/>
      <c r="H469" s="25"/>
      <c r="I469" s="25"/>
      <c r="J469" s="25"/>
      <c r="K469" s="25"/>
      <c r="L469" s="25"/>
      <c r="M469" s="25"/>
    </row>
    <row r="470" spans="5:13" x14ac:dyDescent="0.25">
      <c r="E470" s="25"/>
      <c r="F470" s="25"/>
      <c r="G470" s="25"/>
      <c r="H470" s="25"/>
      <c r="I470" s="25"/>
      <c r="J470" s="25"/>
      <c r="K470" s="25"/>
      <c r="L470" s="25"/>
      <c r="M470" s="25"/>
    </row>
    <row r="471" spans="5:13" x14ac:dyDescent="0.25">
      <c r="E471" s="25"/>
      <c r="F471" s="25"/>
      <c r="G471" s="25"/>
      <c r="H471" s="25"/>
      <c r="I471" s="25"/>
      <c r="J471" s="25"/>
      <c r="K471" s="25"/>
      <c r="L471" s="25"/>
      <c r="M471" s="25"/>
    </row>
    <row r="472" spans="5:13" x14ac:dyDescent="0.25">
      <c r="E472" s="25"/>
      <c r="F472" s="25"/>
      <c r="G472" s="25"/>
      <c r="H472" s="25"/>
      <c r="I472" s="25"/>
      <c r="J472" s="25"/>
      <c r="K472" s="25"/>
      <c r="L472" s="25"/>
      <c r="M472" s="25"/>
    </row>
    <row r="473" spans="5:13" x14ac:dyDescent="0.25">
      <c r="E473" s="25"/>
      <c r="F473" s="25"/>
      <c r="G473" s="25"/>
      <c r="H473" s="25"/>
      <c r="I473" s="25"/>
      <c r="J473" s="25"/>
      <c r="K473" s="25"/>
      <c r="L473" s="25"/>
      <c r="M473" s="25"/>
    </row>
    <row r="474" spans="5:13" x14ac:dyDescent="0.25">
      <c r="E474" s="25"/>
      <c r="F474" s="25"/>
      <c r="G474" s="25"/>
      <c r="H474" s="25"/>
      <c r="I474" s="25"/>
      <c r="J474" s="25"/>
      <c r="K474" s="25"/>
      <c r="L474" s="25"/>
      <c r="M474" s="25"/>
    </row>
    <row r="475" spans="5:13" x14ac:dyDescent="0.25">
      <c r="E475" s="25"/>
      <c r="F475" s="25"/>
      <c r="G475" s="25"/>
      <c r="H475" s="25"/>
      <c r="I475" s="25"/>
      <c r="J475" s="25"/>
      <c r="K475" s="25"/>
      <c r="L475" s="25"/>
      <c r="M475" s="25"/>
    </row>
    <row r="476" spans="5:13" x14ac:dyDescent="0.25">
      <c r="E476" s="25"/>
      <c r="F476" s="25"/>
      <c r="G476" s="25"/>
      <c r="H476" s="25"/>
      <c r="I476" s="25"/>
      <c r="J476" s="25"/>
      <c r="K476" s="25"/>
      <c r="L476" s="25"/>
      <c r="M476" s="25"/>
    </row>
    <row r="477" spans="5:13" x14ac:dyDescent="0.25">
      <c r="E477" s="25"/>
      <c r="F477" s="25"/>
      <c r="G477" s="25"/>
      <c r="H477" s="25"/>
      <c r="I477" s="25"/>
      <c r="J477" s="25"/>
      <c r="K477" s="25"/>
      <c r="L477" s="25"/>
      <c r="M477" s="25"/>
    </row>
    <row r="478" spans="5:13" x14ac:dyDescent="0.25">
      <c r="E478" s="25"/>
      <c r="F478" s="25"/>
      <c r="G478" s="25"/>
      <c r="H478" s="25"/>
      <c r="I478" s="25"/>
      <c r="J478" s="25"/>
      <c r="K478" s="25"/>
      <c r="L478" s="25"/>
      <c r="M478" s="25"/>
    </row>
    <row r="479" spans="5:13" x14ac:dyDescent="0.25">
      <c r="E479" s="25"/>
      <c r="F479" s="25"/>
      <c r="G479" s="25"/>
      <c r="H479" s="25"/>
      <c r="I479" s="25"/>
      <c r="J479" s="25"/>
      <c r="K479" s="25"/>
      <c r="L479" s="25"/>
      <c r="M479" s="25"/>
    </row>
    <row r="480" spans="5:13" x14ac:dyDescent="0.25">
      <c r="E480" s="25"/>
      <c r="F480" s="25"/>
      <c r="G480" s="25"/>
      <c r="H480" s="25"/>
      <c r="I480" s="25"/>
      <c r="J480" s="25"/>
      <c r="K480" s="25"/>
      <c r="L480" s="25"/>
      <c r="M480" s="25"/>
    </row>
    <row r="481" spans="5:13" x14ac:dyDescent="0.25">
      <c r="E481" s="25"/>
      <c r="F481" s="25"/>
      <c r="G481" s="25"/>
      <c r="H481" s="25"/>
      <c r="I481" s="25"/>
      <c r="J481" s="25"/>
      <c r="K481" s="25"/>
      <c r="L481" s="25"/>
      <c r="M481" s="25"/>
    </row>
    <row r="482" spans="5:13" x14ac:dyDescent="0.25">
      <c r="E482" s="25"/>
      <c r="F482" s="25"/>
      <c r="G482" s="25"/>
      <c r="H482" s="25"/>
      <c r="I482" s="25"/>
      <c r="J482" s="25"/>
      <c r="K482" s="25"/>
      <c r="L482" s="25"/>
      <c r="M482" s="25"/>
    </row>
    <row r="483" spans="5:13" x14ac:dyDescent="0.25">
      <c r="E483" s="25"/>
      <c r="F483" s="25"/>
      <c r="G483" s="25"/>
      <c r="H483" s="25"/>
      <c r="I483" s="25"/>
      <c r="J483" s="25"/>
      <c r="K483" s="25"/>
      <c r="L483" s="25"/>
      <c r="M483" s="25"/>
    </row>
    <row r="484" spans="5:13" x14ac:dyDescent="0.25">
      <c r="E484" s="25"/>
      <c r="F484" s="25"/>
      <c r="G484" s="25"/>
      <c r="H484" s="25"/>
      <c r="I484" s="25"/>
      <c r="J484" s="25"/>
      <c r="K484" s="25"/>
      <c r="L484" s="25"/>
      <c r="M484" s="25"/>
    </row>
    <row r="485" spans="5:13" x14ac:dyDescent="0.25">
      <c r="E485" s="25"/>
      <c r="F485" s="25"/>
      <c r="G485" s="25"/>
      <c r="H485" s="25"/>
      <c r="I485" s="25"/>
      <c r="J485" s="25"/>
      <c r="K485" s="25"/>
      <c r="L485" s="25"/>
      <c r="M485" s="25"/>
    </row>
    <row r="486" spans="5:13" x14ac:dyDescent="0.25">
      <c r="E486" s="25"/>
      <c r="F486" s="25"/>
      <c r="G486" s="25"/>
      <c r="H486" s="25"/>
      <c r="I486" s="25"/>
      <c r="J486" s="25"/>
      <c r="K486" s="25"/>
      <c r="L486" s="25"/>
      <c r="M486" s="25"/>
    </row>
    <row r="487" spans="5:13" x14ac:dyDescent="0.25">
      <c r="E487" s="25"/>
      <c r="F487" s="25"/>
      <c r="G487" s="25"/>
      <c r="H487" s="25"/>
      <c r="I487" s="25"/>
      <c r="J487" s="25"/>
      <c r="K487" s="25"/>
      <c r="L487" s="25"/>
      <c r="M487" s="25"/>
    </row>
    <row r="488" spans="5:13" x14ac:dyDescent="0.25">
      <c r="E488" s="25"/>
      <c r="F488" s="25"/>
      <c r="G488" s="25"/>
      <c r="H488" s="25"/>
      <c r="I488" s="25"/>
      <c r="J488" s="25"/>
      <c r="K488" s="25"/>
      <c r="L488" s="25"/>
      <c r="M488" s="25"/>
    </row>
    <row r="489" spans="5:13" x14ac:dyDescent="0.25">
      <c r="E489" s="25"/>
      <c r="F489" s="25"/>
      <c r="G489" s="25"/>
      <c r="H489" s="25"/>
      <c r="I489" s="25"/>
      <c r="J489" s="25"/>
      <c r="K489" s="25"/>
      <c r="L489" s="25"/>
      <c r="M489" s="25"/>
    </row>
    <row r="490" spans="5:13" x14ac:dyDescent="0.25">
      <c r="E490" s="25"/>
      <c r="F490" s="25"/>
      <c r="G490" s="25"/>
      <c r="H490" s="25"/>
      <c r="I490" s="25"/>
      <c r="J490" s="25"/>
      <c r="K490" s="25"/>
      <c r="L490" s="25"/>
      <c r="M490" s="25"/>
    </row>
    <row r="491" spans="5:13" x14ac:dyDescent="0.25">
      <c r="E491" s="25"/>
      <c r="F491" s="25"/>
      <c r="G491" s="25"/>
      <c r="H491" s="25"/>
      <c r="I491" s="25"/>
      <c r="J491" s="25"/>
      <c r="K491" s="25"/>
      <c r="L491" s="25"/>
      <c r="M491" s="25"/>
    </row>
    <row r="492" spans="5:13" x14ac:dyDescent="0.25">
      <c r="E492" s="25"/>
      <c r="F492" s="25"/>
      <c r="G492" s="25"/>
      <c r="H492" s="25"/>
      <c r="I492" s="25"/>
      <c r="J492" s="25"/>
      <c r="K492" s="25"/>
      <c r="L492" s="25"/>
      <c r="M492" s="25"/>
    </row>
    <row r="493" spans="5:13" x14ac:dyDescent="0.25">
      <c r="E493" s="25"/>
      <c r="F493" s="25"/>
      <c r="G493" s="25"/>
      <c r="H493" s="25"/>
      <c r="I493" s="25"/>
      <c r="J493" s="25"/>
      <c r="K493" s="25"/>
      <c r="L493" s="25"/>
      <c r="M493" s="25"/>
    </row>
    <row r="494" spans="5:13" x14ac:dyDescent="0.25">
      <c r="E494" s="25"/>
      <c r="F494" s="25"/>
      <c r="G494" s="25"/>
      <c r="H494" s="25"/>
      <c r="I494" s="25"/>
      <c r="J494" s="25"/>
      <c r="K494" s="25"/>
      <c r="L494" s="25"/>
      <c r="M494" s="25"/>
    </row>
    <row r="495" spans="5:13" x14ac:dyDescent="0.25">
      <c r="E495" s="25"/>
      <c r="F495" s="25"/>
      <c r="G495" s="25"/>
      <c r="H495" s="25"/>
      <c r="I495" s="25"/>
      <c r="J495" s="25"/>
      <c r="K495" s="25"/>
      <c r="L495" s="25"/>
      <c r="M495" s="25"/>
    </row>
    <row r="496" spans="5:13" x14ac:dyDescent="0.25">
      <c r="E496" s="25"/>
      <c r="F496" s="25"/>
      <c r="G496" s="25"/>
      <c r="H496" s="25"/>
      <c r="I496" s="25"/>
      <c r="J496" s="25"/>
      <c r="K496" s="25"/>
      <c r="L496" s="25"/>
      <c r="M496" s="25"/>
    </row>
    <row r="497" spans="5:13" x14ac:dyDescent="0.25">
      <c r="E497" s="25"/>
      <c r="F497" s="25"/>
      <c r="G497" s="25"/>
      <c r="H497" s="25"/>
      <c r="I497" s="25"/>
      <c r="J497" s="25"/>
      <c r="K497" s="25"/>
      <c r="L497" s="25"/>
      <c r="M497" s="25"/>
    </row>
    <row r="498" spans="5:13" x14ac:dyDescent="0.25">
      <c r="E498" s="25"/>
      <c r="F498" s="25"/>
      <c r="G498" s="25"/>
      <c r="H498" s="25"/>
      <c r="I498" s="25"/>
      <c r="J498" s="25"/>
      <c r="K498" s="25"/>
      <c r="L498" s="25"/>
      <c r="M498" s="25"/>
    </row>
    <row r="499" spans="5:13" x14ac:dyDescent="0.25">
      <c r="E499" s="25"/>
      <c r="F499" s="25"/>
      <c r="G499" s="25"/>
      <c r="H499" s="25"/>
      <c r="I499" s="25"/>
      <c r="J499" s="25"/>
      <c r="K499" s="25"/>
      <c r="L499" s="25"/>
      <c r="M499" s="25"/>
    </row>
    <row r="500" spans="5:13" x14ac:dyDescent="0.25">
      <c r="E500" s="25"/>
      <c r="F500" s="25"/>
      <c r="G500" s="25"/>
      <c r="H500" s="25"/>
      <c r="I500" s="25"/>
      <c r="J500" s="25"/>
      <c r="K500" s="25"/>
      <c r="L500" s="25"/>
      <c r="M500" s="25"/>
    </row>
    <row r="501" spans="5:13" x14ac:dyDescent="0.25">
      <c r="E501" s="25"/>
      <c r="F501" s="25"/>
      <c r="G501" s="25"/>
      <c r="H501" s="25"/>
      <c r="I501" s="25"/>
      <c r="J501" s="25"/>
      <c r="K501" s="25"/>
      <c r="L501" s="25"/>
      <c r="M501" s="25"/>
    </row>
    <row r="502" spans="5:13" x14ac:dyDescent="0.25">
      <c r="E502" s="25"/>
      <c r="F502" s="25"/>
      <c r="G502" s="25"/>
      <c r="H502" s="25"/>
      <c r="I502" s="25"/>
      <c r="J502" s="25"/>
      <c r="K502" s="25"/>
      <c r="L502" s="25"/>
      <c r="M502" s="25"/>
    </row>
    <row r="503" spans="5:13" x14ac:dyDescent="0.25">
      <c r="E503" s="25"/>
      <c r="F503" s="25"/>
      <c r="G503" s="25"/>
      <c r="H503" s="25"/>
      <c r="I503" s="25"/>
      <c r="J503" s="25"/>
      <c r="K503" s="25"/>
      <c r="L503" s="25"/>
      <c r="M503" s="25"/>
    </row>
    <row r="504" spans="5:13" x14ac:dyDescent="0.25">
      <c r="E504" s="25"/>
      <c r="F504" s="25"/>
      <c r="G504" s="25"/>
      <c r="H504" s="25"/>
      <c r="I504" s="25"/>
      <c r="J504" s="25"/>
      <c r="K504" s="25"/>
      <c r="L504" s="25"/>
      <c r="M504" s="25"/>
    </row>
    <row r="505" spans="5:13" x14ac:dyDescent="0.25">
      <c r="E505" s="25"/>
      <c r="F505" s="25"/>
      <c r="G505" s="25"/>
      <c r="H505" s="25"/>
      <c r="I505" s="25"/>
      <c r="J505" s="25"/>
      <c r="K505" s="25"/>
      <c r="L505" s="25"/>
      <c r="M505" s="25"/>
    </row>
    <row r="506" spans="5:13" x14ac:dyDescent="0.25">
      <c r="E506" s="25"/>
      <c r="F506" s="25"/>
      <c r="G506" s="25"/>
      <c r="H506" s="25"/>
      <c r="I506" s="25"/>
      <c r="J506" s="25"/>
      <c r="K506" s="25"/>
      <c r="L506" s="25"/>
      <c r="M506" s="25"/>
    </row>
    <row r="507" spans="5:13" x14ac:dyDescent="0.25">
      <c r="E507" s="25"/>
      <c r="F507" s="25"/>
      <c r="G507" s="25"/>
      <c r="H507" s="25"/>
      <c r="I507" s="25"/>
      <c r="J507" s="25"/>
      <c r="K507" s="25"/>
      <c r="L507" s="25"/>
      <c r="M507" s="25"/>
    </row>
    <row r="508" spans="5:13" x14ac:dyDescent="0.25">
      <c r="E508" s="25"/>
      <c r="F508" s="25"/>
      <c r="G508" s="25"/>
      <c r="H508" s="25"/>
      <c r="I508" s="25"/>
      <c r="J508" s="25"/>
      <c r="K508" s="25"/>
      <c r="L508" s="25"/>
      <c r="M508" s="25"/>
    </row>
    <row r="509" spans="5:13" x14ac:dyDescent="0.25">
      <c r="E509" s="25"/>
      <c r="F509" s="25"/>
      <c r="G509" s="25"/>
      <c r="H509" s="25"/>
      <c r="I509" s="25"/>
      <c r="J509" s="25"/>
      <c r="K509" s="25"/>
      <c r="L509" s="25"/>
      <c r="M509" s="25"/>
    </row>
    <row r="510" spans="5:13" x14ac:dyDescent="0.25">
      <c r="E510" s="25"/>
      <c r="F510" s="25"/>
      <c r="G510" s="25"/>
      <c r="H510" s="25"/>
      <c r="I510" s="25"/>
      <c r="J510" s="25"/>
      <c r="K510" s="25"/>
      <c r="L510" s="25"/>
      <c r="M510" s="25"/>
    </row>
    <row r="511" spans="5:13" x14ac:dyDescent="0.25">
      <c r="E511" s="25"/>
      <c r="F511" s="25"/>
      <c r="G511" s="25"/>
      <c r="H511" s="25"/>
      <c r="I511" s="25"/>
      <c r="J511" s="25"/>
      <c r="K511" s="25"/>
      <c r="L511" s="25"/>
      <c r="M511" s="25"/>
    </row>
    <row r="512" spans="5:13" x14ac:dyDescent="0.25">
      <c r="E512" s="25"/>
      <c r="F512" s="25"/>
      <c r="G512" s="25"/>
      <c r="H512" s="25"/>
      <c r="I512" s="25"/>
      <c r="J512" s="25"/>
      <c r="K512" s="25"/>
      <c r="L512" s="25"/>
      <c r="M512" s="25"/>
    </row>
    <row r="513" spans="5:13" x14ac:dyDescent="0.25">
      <c r="E513" s="25"/>
      <c r="F513" s="25"/>
      <c r="G513" s="25"/>
      <c r="H513" s="25"/>
      <c r="I513" s="25"/>
      <c r="J513" s="25"/>
      <c r="K513" s="25"/>
      <c r="L513" s="25"/>
      <c r="M513" s="25"/>
    </row>
    <row r="514" spans="5:13" x14ac:dyDescent="0.25">
      <c r="E514" s="25"/>
      <c r="F514" s="25"/>
      <c r="G514" s="25"/>
      <c r="H514" s="25"/>
      <c r="I514" s="25"/>
      <c r="J514" s="25"/>
      <c r="K514" s="25"/>
      <c r="L514" s="25"/>
      <c r="M514" s="25"/>
    </row>
    <row r="515" spans="5:13" x14ac:dyDescent="0.25">
      <c r="E515" s="25"/>
      <c r="F515" s="25"/>
      <c r="G515" s="25"/>
      <c r="H515" s="25"/>
      <c r="I515" s="25"/>
      <c r="J515" s="25"/>
      <c r="K515" s="25"/>
      <c r="L515" s="25"/>
      <c r="M515" s="25"/>
    </row>
    <row r="516" spans="5:13" x14ac:dyDescent="0.25">
      <c r="E516" s="25"/>
      <c r="F516" s="25"/>
      <c r="G516" s="25"/>
      <c r="H516" s="25"/>
      <c r="I516" s="25"/>
      <c r="J516" s="25"/>
      <c r="K516" s="25"/>
      <c r="L516" s="25"/>
      <c r="M516" s="25"/>
    </row>
    <row r="517" spans="5:13" x14ac:dyDescent="0.25">
      <c r="E517" s="25"/>
      <c r="F517" s="25"/>
      <c r="G517" s="25"/>
      <c r="H517" s="25"/>
      <c r="I517" s="25"/>
      <c r="J517" s="25"/>
      <c r="K517" s="25"/>
      <c r="L517" s="25"/>
      <c r="M517" s="25"/>
    </row>
    <row r="518" spans="5:13" x14ac:dyDescent="0.25">
      <c r="E518" s="25"/>
      <c r="F518" s="25"/>
      <c r="G518" s="25"/>
      <c r="H518" s="25"/>
      <c r="I518" s="25"/>
      <c r="J518" s="25"/>
      <c r="K518" s="25"/>
      <c r="L518" s="25"/>
      <c r="M518" s="25"/>
    </row>
    <row r="519" spans="5:13" x14ac:dyDescent="0.25">
      <c r="E519" s="25"/>
      <c r="F519" s="25"/>
      <c r="G519" s="25"/>
      <c r="H519" s="25"/>
      <c r="I519" s="25"/>
      <c r="J519" s="25"/>
      <c r="K519" s="25"/>
      <c r="L519" s="25"/>
      <c r="M519" s="25"/>
    </row>
    <row r="520" spans="5:13" x14ac:dyDescent="0.25">
      <c r="E520" s="25"/>
      <c r="F520" s="25"/>
      <c r="G520" s="25"/>
      <c r="H520" s="25"/>
      <c r="I520" s="25"/>
      <c r="J520" s="25"/>
      <c r="K520" s="25"/>
      <c r="L520" s="25"/>
      <c r="M520" s="25"/>
    </row>
    <row r="521" spans="5:13" x14ac:dyDescent="0.25">
      <c r="E521" s="25"/>
      <c r="F521" s="25"/>
      <c r="G521" s="25"/>
      <c r="H521" s="25"/>
      <c r="I521" s="25"/>
      <c r="J521" s="25"/>
      <c r="K521" s="25"/>
      <c r="L521" s="25"/>
      <c r="M521" s="25"/>
    </row>
    <row r="522" spans="5:13" x14ac:dyDescent="0.25">
      <c r="E522" s="25"/>
      <c r="F522" s="25"/>
      <c r="G522" s="25"/>
      <c r="H522" s="25"/>
      <c r="I522" s="25"/>
      <c r="J522" s="25"/>
      <c r="K522" s="25"/>
      <c r="L522" s="25"/>
      <c r="M522" s="25"/>
    </row>
    <row r="523" spans="5:13" x14ac:dyDescent="0.25">
      <c r="E523" s="25"/>
      <c r="F523" s="25"/>
      <c r="G523" s="25"/>
      <c r="H523" s="25"/>
      <c r="I523" s="25"/>
      <c r="J523" s="25"/>
      <c r="K523" s="25"/>
      <c r="L523" s="25"/>
      <c r="M523" s="25"/>
    </row>
    <row r="524" spans="5:13" x14ac:dyDescent="0.25">
      <c r="E524" s="25"/>
      <c r="F524" s="25"/>
      <c r="G524" s="25"/>
      <c r="H524" s="25"/>
      <c r="I524" s="25"/>
      <c r="J524" s="25"/>
      <c r="K524" s="25"/>
      <c r="L524" s="25"/>
      <c r="M524" s="25"/>
    </row>
    <row r="525" spans="5:13" x14ac:dyDescent="0.25">
      <c r="E525" s="25"/>
      <c r="F525" s="25"/>
      <c r="G525" s="25"/>
      <c r="H525" s="25"/>
      <c r="I525" s="25"/>
      <c r="J525" s="25"/>
      <c r="K525" s="25"/>
      <c r="L525" s="25"/>
      <c r="M525" s="25"/>
    </row>
    <row r="526" spans="5:13" x14ac:dyDescent="0.25">
      <c r="E526" s="25"/>
      <c r="F526" s="25"/>
      <c r="G526" s="25"/>
      <c r="H526" s="25"/>
      <c r="I526" s="25"/>
      <c r="J526" s="25"/>
      <c r="K526" s="25"/>
      <c r="L526" s="25"/>
      <c r="M526" s="25"/>
    </row>
    <row r="527" spans="5:13" x14ac:dyDescent="0.25">
      <c r="E527" s="25"/>
      <c r="F527" s="25"/>
      <c r="G527" s="25"/>
      <c r="H527" s="25"/>
      <c r="I527" s="25"/>
      <c r="J527" s="25"/>
      <c r="K527" s="25"/>
      <c r="L527" s="25"/>
      <c r="M527" s="25"/>
    </row>
    <row r="528" spans="5:13" x14ac:dyDescent="0.25">
      <c r="E528" s="25"/>
      <c r="F528" s="25"/>
      <c r="G528" s="25"/>
      <c r="H528" s="25"/>
      <c r="I528" s="25"/>
      <c r="J528" s="25"/>
      <c r="K528" s="25"/>
      <c r="L528" s="25"/>
      <c r="M528" s="25"/>
    </row>
    <row r="529" spans="5:13" x14ac:dyDescent="0.25">
      <c r="E529" s="25"/>
      <c r="F529" s="25"/>
      <c r="G529" s="25"/>
      <c r="H529" s="25"/>
      <c r="I529" s="25"/>
      <c r="J529" s="25"/>
      <c r="K529" s="25"/>
      <c r="L529" s="25"/>
      <c r="M529" s="25"/>
    </row>
    <row r="530" spans="5:13" x14ac:dyDescent="0.25">
      <c r="E530" s="25"/>
      <c r="F530" s="25"/>
      <c r="G530" s="25"/>
      <c r="H530" s="25"/>
      <c r="I530" s="25"/>
      <c r="J530" s="25"/>
      <c r="K530" s="25"/>
      <c r="L530" s="25"/>
      <c r="M530" s="25"/>
    </row>
    <row r="531" spans="5:13" x14ac:dyDescent="0.25">
      <c r="E531" s="25"/>
      <c r="F531" s="25"/>
      <c r="G531" s="25"/>
      <c r="H531" s="25"/>
      <c r="I531" s="25"/>
      <c r="J531" s="25"/>
      <c r="K531" s="25"/>
      <c r="L531" s="25"/>
      <c r="M531" s="25"/>
    </row>
    <row r="532" spans="5:13" x14ac:dyDescent="0.25">
      <c r="E532" s="25"/>
      <c r="F532" s="25"/>
      <c r="G532" s="25"/>
      <c r="H532" s="25"/>
      <c r="I532" s="25"/>
      <c r="J532" s="25"/>
      <c r="K532" s="25"/>
      <c r="L532" s="25"/>
      <c r="M532" s="25"/>
    </row>
    <row r="533" spans="5:13" x14ac:dyDescent="0.25">
      <c r="E533" s="25"/>
      <c r="F533" s="25"/>
      <c r="G533" s="25"/>
      <c r="H533" s="25"/>
      <c r="I533" s="25"/>
      <c r="J533" s="25"/>
      <c r="K533" s="25"/>
      <c r="L533" s="25"/>
      <c r="M533" s="25"/>
    </row>
    <row r="534" spans="5:13" x14ac:dyDescent="0.25">
      <c r="E534" s="25"/>
      <c r="F534" s="25"/>
      <c r="G534" s="25"/>
      <c r="H534" s="25"/>
      <c r="I534" s="25"/>
      <c r="J534" s="25"/>
      <c r="K534" s="25"/>
      <c r="L534" s="25"/>
      <c r="M534" s="25"/>
    </row>
    <row r="535" spans="5:13" x14ac:dyDescent="0.25">
      <c r="E535" s="25"/>
      <c r="F535" s="25"/>
      <c r="G535" s="25"/>
      <c r="H535" s="25"/>
      <c r="I535" s="25"/>
      <c r="J535" s="25"/>
      <c r="K535" s="25"/>
      <c r="L535" s="25"/>
      <c r="M535" s="25"/>
    </row>
    <row r="536" spans="5:13" x14ac:dyDescent="0.25">
      <c r="E536" s="25"/>
      <c r="F536" s="25"/>
      <c r="G536" s="25"/>
      <c r="H536" s="25"/>
      <c r="I536" s="25"/>
      <c r="J536" s="25"/>
      <c r="K536" s="25"/>
      <c r="L536" s="25"/>
      <c r="M536" s="25"/>
    </row>
    <row r="537" spans="5:13" x14ac:dyDescent="0.25">
      <c r="E537" s="25"/>
      <c r="F537" s="25"/>
      <c r="G537" s="25"/>
      <c r="H537" s="25"/>
      <c r="I537" s="25"/>
      <c r="J537" s="25"/>
      <c r="K537" s="25"/>
      <c r="L537" s="25"/>
      <c r="M537" s="25"/>
    </row>
    <row r="538" spans="5:13" x14ac:dyDescent="0.25">
      <c r="E538" s="25"/>
      <c r="F538" s="25"/>
      <c r="G538" s="25"/>
      <c r="H538" s="25"/>
      <c r="I538" s="25"/>
      <c r="J538" s="25"/>
      <c r="K538" s="25"/>
      <c r="L538" s="25"/>
      <c r="M538" s="25"/>
    </row>
    <row r="539" spans="5:13" x14ac:dyDescent="0.25">
      <c r="E539" s="25"/>
      <c r="F539" s="25"/>
      <c r="G539" s="25"/>
      <c r="H539" s="25"/>
      <c r="I539" s="25"/>
      <c r="J539" s="25"/>
      <c r="K539" s="25"/>
      <c r="L539" s="25"/>
      <c r="M539" s="25"/>
    </row>
    <row r="540" spans="5:13" x14ac:dyDescent="0.25">
      <c r="E540" s="25"/>
      <c r="F540" s="25"/>
      <c r="G540" s="25"/>
      <c r="H540" s="25"/>
      <c r="I540" s="25"/>
      <c r="J540" s="25"/>
      <c r="K540" s="25"/>
      <c r="L540" s="25"/>
      <c r="M540" s="25"/>
    </row>
    <row r="541" spans="5:13" x14ac:dyDescent="0.25">
      <c r="E541" s="25"/>
      <c r="F541" s="25"/>
      <c r="G541" s="25"/>
      <c r="H541" s="25"/>
      <c r="I541" s="25"/>
      <c r="J541" s="25"/>
      <c r="K541" s="25"/>
      <c r="L541" s="25"/>
      <c r="M541" s="25"/>
    </row>
    <row r="542" spans="5:13" x14ac:dyDescent="0.25">
      <c r="E542" s="25"/>
      <c r="F542" s="25"/>
      <c r="G542" s="25"/>
      <c r="H542" s="25"/>
      <c r="I542" s="25"/>
      <c r="J542" s="25"/>
      <c r="K542" s="25"/>
      <c r="L542" s="25"/>
      <c r="M542" s="25"/>
    </row>
    <row r="543" spans="5:13" x14ac:dyDescent="0.25">
      <c r="E543" s="25"/>
      <c r="F543" s="25"/>
      <c r="G543" s="25"/>
      <c r="H543" s="25"/>
      <c r="I543" s="25"/>
      <c r="J543" s="25"/>
      <c r="K543" s="25"/>
      <c r="L543" s="25"/>
      <c r="M543" s="25"/>
    </row>
    <row r="544" spans="5:13" x14ac:dyDescent="0.25">
      <c r="E544" s="25"/>
      <c r="F544" s="25"/>
      <c r="G544" s="25"/>
      <c r="H544" s="25"/>
      <c r="I544" s="25"/>
      <c r="J544" s="25"/>
      <c r="K544" s="25"/>
      <c r="L544" s="25"/>
      <c r="M544" s="25"/>
    </row>
    <row r="545" spans="5:13" x14ac:dyDescent="0.25">
      <c r="E545" s="25"/>
      <c r="F545" s="25"/>
      <c r="G545" s="25"/>
      <c r="H545" s="25"/>
      <c r="I545" s="25"/>
      <c r="J545" s="25"/>
      <c r="K545" s="25"/>
      <c r="L545" s="25"/>
      <c r="M545" s="25"/>
    </row>
    <row r="546" spans="5:13" x14ac:dyDescent="0.25">
      <c r="E546" s="25"/>
      <c r="F546" s="25"/>
      <c r="G546" s="25"/>
      <c r="H546" s="25"/>
      <c r="I546" s="25"/>
      <c r="J546" s="25"/>
      <c r="K546" s="25"/>
      <c r="L546" s="25"/>
      <c r="M546" s="25"/>
    </row>
    <row r="547" spans="5:13" x14ac:dyDescent="0.25">
      <c r="E547" s="25"/>
      <c r="F547" s="25"/>
      <c r="G547" s="25"/>
      <c r="H547" s="25"/>
      <c r="I547" s="25"/>
      <c r="J547" s="25"/>
      <c r="K547" s="25"/>
      <c r="L547" s="25"/>
      <c r="M547" s="25"/>
    </row>
    <row r="548" spans="5:13" x14ac:dyDescent="0.25">
      <c r="E548" s="25"/>
      <c r="F548" s="25"/>
      <c r="G548" s="25"/>
      <c r="H548" s="25"/>
      <c r="I548" s="25"/>
      <c r="J548" s="25"/>
      <c r="K548" s="25"/>
      <c r="L548" s="25"/>
      <c r="M548" s="25"/>
    </row>
    <row r="549" spans="5:13" x14ac:dyDescent="0.25">
      <c r="E549" s="25"/>
      <c r="F549" s="25"/>
      <c r="G549" s="25"/>
      <c r="H549" s="25"/>
      <c r="I549" s="25"/>
      <c r="J549" s="25"/>
      <c r="K549" s="25"/>
      <c r="L549" s="25"/>
      <c r="M549" s="25"/>
    </row>
    <row r="550" spans="5:13" x14ac:dyDescent="0.25">
      <c r="E550" s="25"/>
      <c r="F550" s="25"/>
      <c r="G550" s="25"/>
      <c r="H550" s="25"/>
      <c r="I550" s="25"/>
      <c r="J550" s="25"/>
      <c r="K550" s="25"/>
      <c r="L550" s="25"/>
      <c r="M550" s="25"/>
    </row>
    <row r="551" spans="5:13" x14ac:dyDescent="0.25">
      <c r="E551" s="25"/>
      <c r="F551" s="25"/>
      <c r="G551" s="25"/>
      <c r="H551" s="25"/>
      <c r="I551" s="25"/>
      <c r="J551" s="25"/>
      <c r="K551" s="25"/>
      <c r="L551" s="25"/>
      <c r="M551" s="25"/>
    </row>
    <row r="552" spans="5:13" x14ac:dyDescent="0.25">
      <c r="E552" s="25"/>
      <c r="F552" s="25"/>
      <c r="G552" s="25"/>
      <c r="H552" s="25"/>
      <c r="I552" s="25"/>
      <c r="J552" s="25"/>
      <c r="K552" s="25"/>
      <c r="L552" s="25"/>
      <c r="M552" s="25"/>
    </row>
    <row r="553" spans="5:13" x14ac:dyDescent="0.25">
      <c r="E553" s="25"/>
      <c r="F553" s="25"/>
      <c r="G553" s="25"/>
      <c r="H553" s="25"/>
      <c r="I553" s="25"/>
      <c r="J553" s="25"/>
      <c r="K553" s="25"/>
      <c r="L553" s="25"/>
      <c r="M553" s="25"/>
    </row>
    <row r="554" spans="5:13" x14ac:dyDescent="0.25">
      <c r="E554" s="25"/>
      <c r="F554" s="25"/>
      <c r="G554" s="25"/>
      <c r="H554" s="25"/>
      <c r="I554" s="25"/>
      <c r="J554" s="25"/>
      <c r="K554" s="25"/>
      <c r="L554" s="25"/>
      <c r="M554" s="25"/>
    </row>
    <row r="555" spans="5:13" x14ac:dyDescent="0.25">
      <c r="E555" s="25"/>
      <c r="F555" s="25"/>
      <c r="G555" s="25"/>
      <c r="H555" s="25"/>
      <c r="I555" s="25"/>
      <c r="J555" s="25"/>
      <c r="K555" s="25"/>
      <c r="L555" s="25"/>
      <c r="M555" s="25"/>
    </row>
    <row r="556" spans="5:13" x14ac:dyDescent="0.25">
      <c r="E556" s="25"/>
      <c r="F556" s="25"/>
      <c r="G556" s="25"/>
      <c r="H556" s="25"/>
      <c r="I556" s="25"/>
      <c r="J556" s="25"/>
      <c r="K556" s="25"/>
      <c r="L556" s="25"/>
      <c r="M556" s="25"/>
    </row>
    <row r="557" spans="5:13" x14ac:dyDescent="0.25">
      <c r="E557" s="25"/>
      <c r="F557" s="25"/>
      <c r="G557" s="25"/>
      <c r="H557" s="25"/>
      <c r="I557" s="25"/>
      <c r="J557" s="25"/>
      <c r="K557" s="25"/>
      <c r="L557" s="25"/>
      <c r="M557" s="25"/>
    </row>
    <row r="558" spans="5:13" x14ac:dyDescent="0.25">
      <c r="E558" s="25"/>
      <c r="F558" s="25"/>
      <c r="G558" s="25"/>
      <c r="H558" s="25"/>
      <c r="I558" s="25"/>
      <c r="J558" s="25"/>
      <c r="K558" s="25"/>
      <c r="L558" s="25"/>
      <c r="M558" s="25"/>
    </row>
    <row r="559" spans="5:13" x14ac:dyDescent="0.25">
      <c r="E559" s="25"/>
      <c r="F559" s="25"/>
      <c r="G559" s="25"/>
      <c r="H559" s="25"/>
      <c r="I559" s="25"/>
      <c r="J559" s="25"/>
      <c r="K559" s="25"/>
      <c r="L559" s="25"/>
      <c r="M559" s="25"/>
    </row>
    <row r="560" spans="5:13" x14ac:dyDescent="0.25">
      <c r="E560" s="25"/>
      <c r="F560" s="25"/>
      <c r="G560" s="25"/>
      <c r="H560" s="25"/>
      <c r="I560" s="25"/>
      <c r="J560" s="25"/>
      <c r="K560" s="25"/>
      <c r="L560" s="25"/>
      <c r="M560" s="25"/>
    </row>
    <row r="561" spans="5:13" x14ac:dyDescent="0.25">
      <c r="E561" s="25"/>
      <c r="F561" s="25"/>
      <c r="G561" s="25"/>
      <c r="H561" s="25"/>
      <c r="I561" s="25"/>
      <c r="J561" s="25"/>
      <c r="K561" s="25"/>
      <c r="L561" s="25"/>
      <c r="M561" s="25"/>
    </row>
    <row r="562" spans="5:13" x14ac:dyDescent="0.25">
      <c r="E562" s="25"/>
      <c r="F562" s="25"/>
      <c r="G562" s="25"/>
      <c r="H562" s="25"/>
      <c r="I562" s="25"/>
      <c r="J562" s="25"/>
      <c r="K562" s="25"/>
      <c r="L562" s="25"/>
      <c r="M562" s="25"/>
    </row>
    <row r="563" spans="5:13" x14ac:dyDescent="0.25">
      <c r="E563" s="25"/>
      <c r="F563" s="25"/>
      <c r="G563" s="25"/>
      <c r="H563" s="25"/>
      <c r="I563" s="25"/>
      <c r="J563" s="25"/>
      <c r="K563" s="25"/>
      <c r="L563" s="25"/>
      <c r="M563" s="25"/>
    </row>
    <row r="564" spans="5:13" x14ac:dyDescent="0.25">
      <c r="E564" s="25"/>
      <c r="F564" s="25"/>
      <c r="G564" s="25"/>
      <c r="H564" s="25"/>
      <c r="I564" s="25"/>
      <c r="J564" s="25"/>
      <c r="K564" s="25"/>
      <c r="L564" s="25"/>
      <c r="M564" s="25"/>
    </row>
    <row r="565" spans="5:13" x14ac:dyDescent="0.25">
      <c r="E565" s="25"/>
      <c r="F565" s="25"/>
      <c r="G565" s="25"/>
      <c r="H565" s="25"/>
      <c r="I565" s="25"/>
      <c r="J565" s="25"/>
      <c r="K565" s="25"/>
      <c r="L565" s="25"/>
      <c r="M565" s="25"/>
    </row>
    <row r="566" spans="5:13" x14ac:dyDescent="0.25">
      <c r="E566" s="25"/>
      <c r="F566" s="25"/>
      <c r="G566" s="25"/>
      <c r="H566" s="25"/>
      <c r="I566" s="25"/>
      <c r="J566" s="25"/>
      <c r="K566" s="25"/>
      <c r="L566" s="25"/>
      <c r="M566" s="25"/>
    </row>
    <row r="567" spans="5:13" x14ac:dyDescent="0.25">
      <c r="E567" s="25"/>
      <c r="F567" s="25"/>
      <c r="G567" s="25"/>
      <c r="H567" s="25"/>
      <c r="I567" s="25"/>
      <c r="J567" s="25"/>
      <c r="K567" s="25"/>
      <c r="L567" s="25"/>
      <c r="M567" s="25"/>
    </row>
    <row r="568" spans="5:13" x14ac:dyDescent="0.25">
      <c r="E568" s="25"/>
      <c r="F568" s="25"/>
      <c r="G568" s="25"/>
      <c r="H568" s="25"/>
      <c r="I568" s="25"/>
      <c r="J568" s="25"/>
      <c r="K568" s="25"/>
      <c r="L568" s="25"/>
      <c r="M568" s="25"/>
    </row>
    <row r="569" spans="5:13" x14ac:dyDescent="0.25">
      <c r="E569" s="25"/>
      <c r="F569" s="25"/>
      <c r="G569" s="25"/>
      <c r="H569" s="25"/>
      <c r="I569" s="25"/>
      <c r="J569" s="25"/>
      <c r="K569" s="25"/>
      <c r="L569" s="25"/>
      <c r="M569" s="25"/>
    </row>
    <row r="570" spans="5:13" x14ac:dyDescent="0.25">
      <c r="E570" s="25"/>
      <c r="F570" s="25"/>
      <c r="G570" s="25"/>
      <c r="H570" s="25"/>
      <c r="I570" s="25"/>
      <c r="J570" s="25"/>
      <c r="K570" s="25"/>
      <c r="L570" s="25"/>
      <c r="M570" s="25"/>
    </row>
    <row r="571" spans="5:13" x14ac:dyDescent="0.25">
      <c r="E571" s="25"/>
      <c r="F571" s="25"/>
      <c r="G571" s="25"/>
      <c r="H571" s="25"/>
      <c r="I571" s="25"/>
      <c r="J571" s="25"/>
      <c r="K571" s="25"/>
      <c r="L571" s="25"/>
      <c r="M571" s="25"/>
    </row>
    <row r="572" spans="5:13" x14ac:dyDescent="0.25">
      <c r="E572" s="25"/>
      <c r="F572" s="25"/>
      <c r="G572" s="25"/>
      <c r="H572" s="25"/>
      <c r="I572" s="25"/>
      <c r="J572" s="25"/>
      <c r="K572" s="25"/>
      <c r="L572" s="25"/>
      <c r="M572" s="25"/>
    </row>
    <row r="573" spans="5:13" x14ac:dyDescent="0.25">
      <c r="E573" s="25"/>
      <c r="F573" s="25"/>
      <c r="G573" s="25"/>
      <c r="H573" s="25"/>
      <c r="I573" s="25"/>
      <c r="J573" s="25"/>
      <c r="K573" s="25"/>
      <c r="L573" s="25"/>
      <c r="M573" s="25"/>
    </row>
    <row r="574" spans="5:13" x14ac:dyDescent="0.25">
      <c r="E574" s="25"/>
      <c r="F574" s="25"/>
      <c r="G574" s="25"/>
      <c r="H574" s="25"/>
      <c r="I574" s="25"/>
      <c r="J574" s="25"/>
      <c r="K574" s="25"/>
      <c r="L574" s="25"/>
      <c r="M574" s="25"/>
    </row>
    <row r="575" spans="5:13" x14ac:dyDescent="0.25">
      <c r="E575" s="25"/>
      <c r="F575" s="25"/>
      <c r="G575" s="25"/>
      <c r="H575" s="25"/>
      <c r="I575" s="25"/>
      <c r="J575" s="25"/>
      <c r="K575" s="25"/>
      <c r="L575" s="25"/>
      <c r="M575" s="25"/>
    </row>
    <row r="576" spans="5:13" x14ac:dyDescent="0.25">
      <c r="E576" s="25"/>
      <c r="F576" s="25"/>
      <c r="G576" s="25"/>
      <c r="H576" s="25"/>
      <c r="I576" s="25"/>
      <c r="J576" s="25"/>
      <c r="K576" s="25"/>
      <c r="L576" s="25"/>
      <c r="M576" s="25"/>
    </row>
    <row r="577" spans="5:13" x14ac:dyDescent="0.25">
      <c r="E577" s="25"/>
      <c r="F577" s="25"/>
      <c r="G577" s="25"/>
      <c r="H577" s="25"/>
      <c r="I577" s="25"/>
      <c r="J577" s="25"/>
      <c r="K577" s="25"/>
      <c r="L577" s="25"/>
      <c r="M577" s="25"/>
    </row>
    <row r="578" spans="5:13" x14ac:dyDescent="0.25">
      <c r="E578" s="25"/>
      <c r="F578" s="25"/>
      <c r="G578" s="25"/>
      <c r="H578" s="25"/>
      <c r="I578" s="25"/>
      <c r="J578" s="25"/>
      <c r="K578" s="25"/>
      <c r="L578" s="25"/>
      <c r="M578" s="25"/>
    </row>
    <row r="579" spans="5:13" x14ac:dyDescent="0.25">
      <c r="E579" s="25"/>
      <c r="F579" s="25"/>
      <c r="G579" s="25"/>
      <c r="H579" s="25"/>
      <c r="I579" s="25"/>
      <c r="J579" s="25"/>
      <c r="K579" s="25"/>
      <c r="L579" s="25"/>
      <c r="M579" s="25"/>
    </row>
    <row r="580" spans="5:13" x14ac:dyDescent="0.25">
      <c r="E580" s="25"/>
      <c r="F580" s="25"/>
      <c r="G580" s="25"/>
      <c r="H580" s="25"/>
      <c r="I580" s="25"/>
      <c r="J580" s="25"/>
      <c r="K580" s="25"/>
      <c r="L580" s="25"/>
      <c r="M580" s="25"/>
    </row>
    <row r="581" spans="5:13" x14ac:dyDescent="0.25">
      <c r="E581" s="25"/>
      <c r="F581" s="25"/>
      <c r="G581" s="25"/>
      <c r="H581" s="25"/>
      <c r="I581" s="25"/>
      <c r="J581" s="25"/>
      <c r="K581" s="25"/>
      <c r="L581" s="25"/>
      <c r="M581" s="25"/>
    </row>
    <row r="582" spans="5:13" x14ac:dyDescent="0.25">
      <c r="E582" s="25"/>
      <c r="F582" s="25"/>
      <c r="G582" s="25"/>
      <c r="H582" s="25"/>
      <c r="I582" s="25"/>
      <c r="J582" s="25"/>
      <c r="K582" s="25"/>
      <c r="L582" s="25"/>
      <c r="M582" s="25"/>
    </row>
    <row r="583" spans="5:13" x14ac:dyDescent="0.25">
      <c r="E583" s="25"/>
      <c r="F583" s="25"/>
      <c r="G583" s="25"/>
      <c r="H583" s="25"/>
      <c r="I583" s="25"/>
      <c r="J583" s="25"/>
      <c r="K583" s="25"/>
      <c r="L583" s="25"/>
      <c r="M583" s="25"/>
    </row>
    <row r="584" spans="5:13" x14ac:dyDescent="0.25">
      <c r="E584" s="25"/>
      <c r="F584" s="25"/>
      <c r="G584" s="25"/>
      <c r="H584" s="25"/>
      <c r="I584" s="25"/>
      <c r="J584" s="25"/>
      <c r="K584" s="25"/>
      <c r="L584" s="25"/>
      <c r="M584" s="25"/>
    </row>
    <row r="585" spans="5:13" x14ac:dyDescent="0.25">
      <c r="E585" s="25"/>
      <c r="F585" s="25"/>
      <c r="G585" s="25"/>
      <c r="H585" s="25"/>
      <c r="I585" s="25"/>
      <c r="J585" s="25"/>
      <c r="K585" s="25"/>
      <c r="L585" s="25"/>
      <c r="M585" s="25"/>
    </row>
    <row r="586" spans="5:13" x14ac:dyDescent="0.25">
      <c r="E586" s="25"/>
      <c r="F586" s="25"/>
      <c r="G586" s="25"/>
      <c r="H586" s="25"/>
      <c r="I586" s="25"/>
      <c r="J586" s="25"/>
      <c r="K586" s="25"/>
      <c r="L586" s="25"/>
      <c r="M586" s="25"/>
    </row>
    <row r="587" spans="5:13" x14ac:dyDescent="0.25">
      <c r="E587" s="25"/>
      <c r="F587" s="25"/>
      <c r="G587" s="25"/>
      <c r="H587" s="25"/>
      <c r="I587" s="25"/>
      <c r="J587" s="25"/>
      <c r="K587" s="25"/>
      <c r="L587" s="25"/>
      <c r="M587" s="25"/>
    </row>
    <row r="588" spans="5:13" x14ac:dyDescent="0.25">
      <c r="E588" s="25"/>
      <c r="F588" s="25"/>
      <c r="G588" s="25"/>
      <c r="H588" s="25"/>
      <c r="I588" s="25"/>
      <c r="J588" s="25"/>
      <c r="K588" s="25"/>
      <c r="L588" s="25"/>
      <c r="M588" s="25"/>
    </row>
    <row r="589" spans="5:13" x14ac:dyDescent="0.25">
      <c r="E589" s="25"/>
      <c r="F589" s="25"/>
      <c r="G589" s="25"/>
      <c r="H589" s="25"/>
      <c r="I589" s="25"/>
      <c r="J589" s="25"/>
      <c r="K589" s="25"/>
      <c r="L589" s="25"/>
      <c r="M589" s="25"/>
    </row>
    <row r="590" spans="5:13" x14ac:dyDescent="0.25">
      <c r="E590" s="25"/>
      <c r="F590" s="25"/>
      <c r="G590" s="25"/>
      <c r="H590" s="25"/>
      <c r="I590" s="25"/>
      <c r="J590" s="25"/>
      <c r="K590" s="25"/>
      <c r="L590" s="25"/>
      <c r="M590" s="25"/>
    </row>
    <row r="591" spans="5:13" x14ac:dyDescent="0.25">
      <c r="E591" s="25"/>
      <c r="F591" s="25"/>
      <c r="G591" s="25"/>
      <c r="H591" s="25"/>
      <c r="I591" s="25"/>
      <c r="J591" s="25"/>
      <c r="K591" s="25"/>
      <c r="L591" s="25"/>
      <c r="M591" s="25"/>
    </row>
    <row r="592" spans="5:13" x14ac:dyDescent="0.25">
      <c r="E592" s="25"/>
      <c r="F592" s="25"/>
      <c r="G592" s="25"/>
      <c r="H592" s="25"/>
      <c r="I592" s="25"/>
      <c r="J592" s="25"/>
      <c r="K592" s="25"/>
      <c r="L592" s="25"/>
      <c r="M592" s="25"/>
    </row>
    <row r="593" spans="5:13" x14ac:dyDescent="0.25">
      <c r="E593" s="25"/>
      <c r="F593" s="25"/>
      <c r="G593" s="25"/>
      <c r="H593" s="25"/>
      <c r="I593" s="25"/>
      <c r="J593" s="25"/>
      <c r="K593" s="25"/>
      <c r="L593" s="25"/>
      <c r="M593" s="25"/>
    </row>
    <row r="594" spans="5:13" x14ac:dyDescent="0.25">
      <c r="E594" s="25"/>
      <c r="F594" s="25"/>
      <c r="G594" s="25"/>
      <c r="H594" s="25"/>
      <c r="I594" s="25"/>
      <c r="J594" s="25"/>
      <c r="K594" s="25"/>
      <c r="L594" s="25"/>
      <c r="M594" s="25"/>
    </row>
    <row r="595" spans="5:13" x14ac:dyDescent="0.25">
      <c r="E595" s="25"/>
      <c r="F595" s="25"/>
      <c r="G595" s="25"/>
      <c r="H595" s="25"/>
      <c r="I595" s="25"/>
      <c r="J595" s="25"/>
      <c r="K595" s="25"/>
      <c r="L595" s="25"/>
      <c r="M595" s="25"/>
    </row>
    <row r="596" spans="5:13" x14ac:dyDescent="0.25">
      <c r="E596" s="25"/>
      <c r="F596" s="25"/>
      <c r="G596" s="25"/>
      <c r="H596" s="25"/>
      <c r="I596" s="25"/>
      <c r="J596" s="25"/>
      <c r="K596" s="25"/>
      <c r="L596" s="25"/>
      <c r="M596" s="25"/>
    </row>
    <row r="597" spans="5:13" x14ac:dyDescent="0.25">
      <c r="E597" s="25"/>
      <c r="F597" s="25"/>
      <c r="G597" s="25"/>
      <c r="H597" s="25"/>
      <c r="I597" s="25"/>
      <c r="J597" s="25"/>
      <c r="K597" s="25"/>
      <c r="L597" s="25"/>
      <c r="M597" s="25"/>
    </row>
    <row r="598" spans="5:13" x14ac:dyDescent="0.25">
      <c r="E598" s="25"/>
      <c r="F598" s="25"/>
      <c r="G598" s="25"/>
      <c r="H598" s="25"/>
      <c r="I598" s="25"/>
      <c r="J598" s="25"/>
      <c r="K598" s="25"/>
      <c r="L598" s="25"/>
      <c r="M598" s="25"/>
    </row>
    <row r="599" spans="5:13" x14ac:dyDescent="0.25">
      <c r="E599" s="25"/>
      <c r="F599" s="25"/>
      <c r="G599" s="25"/>
      <c r="H599" s="25"/>
      <c r="I599" s="25"/>
      <c r="J599" s="25"/>
      <c r="K599" s="25"/>
      <c r="L599" s="25"/>
      <c r="M599" s="25"/>
    </row>
    <row r="600" spans="5:13" x14ac:dyDescent="0.25">
      <c r="E600" s="25"/>
      <c r="F600" s="25"/>
      <c r="G600" s="25"/>
      <c r="H600" s="25"/>
      <c r="I600" s="25"/>
      <c r="J600" s="25"/>
      <c r="K600" s="25"/>
      <c r="L600" s="25"/>
      <c r="M600" s="25"/>
    </row>
    <row r="601" spans="5:13" x14ac:dyDescent="0.25">
      <c r="E601" s="25"/>
      <c r="F601" s="25"/>
      <c r="G601" s="25"/>
      <c r="H601" s="25"/>
      <c r="I601" s="25"/>
      <c r="J601" s="25"/>
      <c r="K601" s="25"/>
      <c r="L601" s="25"/>
      <c r="M601" s="25"/>
    </row>
    <row r="602" spans="5:13" x14ac:dyDescent="0.25">
      <c r="E602" s="25"/>
      <c r="F602" s="25"/>
      <c r="G602" s="25"/>
      <c r="H602" s="25"/>
      <c r="I602" s="25"/>
      <c r="J602" s="25"/>
      <c r="K602" s="25"/>
      <c r="L602" s="25"/>
      <c r="M602" s="25"/>
    </row>
    <row r="603" spans="5:13" x14ac:dyDescent="0.25">
      <c r="E603" s="25"/>
      <c r="F603" s="25"/>
      <c r="G603" s="25"/>
      <c r="H603" s="25"/>
      <c r="I603" s="25"/>
      <c r="J603" s="25"/>
      <c r="K603" s="25"/>
      <c r="L603" s="25"/>
      <c r="M603" s="25"/>
    </row>
    <row r="604" spans="5:13" x14ac:dyDescent="0.25">
      <c r="E604" s="25"/>
      <c r="F604" s="25"/>
      <c r="G604" s="25"/>
      <c r="H604" s="25"/>
      <c r="I604" s="25"/>
      <c r="J604" s="25"/>
      <c r="K604" s="25"/>
      <c r="L604" s="25"/>
      <c r="M604" s="25"/>
    </row>
    <row r="605" spans="5:13" x14ac:dyDescent="0.25">
      <c r="E605" s="25"/>
      <c r="F605" s="25"/>
      <c r="G605" s="25"/>
      <c r="H605" s="25"/>
      <c r="I605" s="25"/>
      <c r="J605" s="25"/>
      <c r="K605" s="25"/>
      <c r="L605" s="25"/>
      <c r="M605" s="25"/>
    </row>
    <row r="606" spans="5:13" x14ac:dyDescent="0.25">
      <c r="E606" s="25"/>
      <c r="F606" s="25"/>
      <c r="G606" s="25"/>
      <c r="H606" s="25"/>
      <c r="I606" s="25"/>
      <c r="J606" s="25"/>
      <c r="K606" s="25"/>
      <c r="L606" s="25"/>
      <c r="M606" s="25"/>
    </row>
    <row r="607" spans="5:13" x14ac:dyDescent="0.25">
      <c r="E607" s="25"/>
      <c r="F607" s="25"/>
      <c r="G607" s="25"/>
      <c r="H607" s="25"/>
      <c r="I607" s="25"/>
      <c r="J607" s="25"/>
      <c r="K607" s="25"/>
      <c r="L607" s="25"/>
      <c r="M607" s="25"/>
    </row>
    <row r="608" spans="5:13" x14ac:dyDescent="0.25">
      <c r="E608" s="25"/>
      <c r="F608" s="25"/>
      <c r="G608" s="25"/>
      <c r="H608" s="25"/>
      <c r="I608" s="25"/>
      <c r="J608" s="25"/>
      <c r="K608" s="25"/>
      <c r="L608" s="25"/>
      <c r="M608" s="25"/>
    </row>
    <row r="609" spans="5:13" x14ac:dyDescent="0.25">
      <c r="E609" s="25"/>
      <c r="F609" s="25"/>
      <c r="G609" s="25"/>
      <c r="H609" s="25"/>
      <c r="I609" s="25"/>
      <c r="J609" s="25"/>
      <c r="K609" s="25"/>
      <c r="L609" s="25"/>
      <c r="M609" s="25"/>
    </row>
    <row r="610" spans="5:13" x14ac:dyDescent="0.25">
      <c r="E610" s="25"/>
      <c r="F610" s="25"/>
      <c r="G610" s="25"/>
      <c r="H610" s="25"/>
      <c r="I610" s="25"/>
      <c r="J610" s="25"/>
      <c r="K610" s="25"/>
      <c r="L610" s="25"/>
      <c r="M610" s="25"/>
    </row>
    <row r="611" spans="5:13" x14ac:dyDescent="0.25">
      <c r="E611" s="25"/>
      <c r="F611" s="25"/>
      <c r="G611" s="25"/>
      <c r="H611" s="25"/>
      <c r="I611" s="25"/>
      <c r="J611" s="25"/>
      <c r="K611" s="25"/>
      <c r="L611" s="25"/>
      <c r="M611" s="25"/>
    </row>
    <row r="612" spans="5:13" x14ac:dyDescent="0.25">
      <c r="E612" s="25"/>
      <c r="F612" s="25"/>
      <c r="G612" s="25"/>
      <c r="H612" s="25"/>
      <c r="I612" s="25"/>
      <c r="J612" s="25"/>
      <c r="K612" s="25"/>
      <c r="L612" s="25"/>
      <c r="M612" s="25"/>
    </row>
    <row r="613" spans="5:13" x14ac:dyDescent="0.25">
      <c r="E613" s="25"/>
      <c r="F613" s="25"/>
      <c r="G613" s="25"/>
      <c r="H613" s="25"/>
      <c r="I613" s="25"/>
      <c r="J613" s="25"/>
      <c r="K613" s="25"/>
      <c r="L613" s="25"/>
      <c r="M613" s="25"/>
    </row>
    <row r="614" spans="5:13" x14ac:dyDescent="0.25">
      <c r="E614" s="25"/>
      <c r="F614" s="25"/>
      <c r="G614" s="25"/>
      <c r="H614" s="25"/>
      <c r="I614" s="25"/>
      <c r="J614" s="25"/>
      <c r="K614" s="25"/>
      <c r="L614" s="25"/>
      <c r="M614" s="25"/>
    </row>
    <row r="615" spans="5:13" x14ac:dyDescent="0.25">
      <c r="E615" s="25"/>
      <c r="F615" s="25"/>
      <c r="G615" s="25"/>
      <c r="H615" s="25"/>
      <c r="I615" s="25"/>
      <c r="J615" s="25"/>
      <c r="K615" s="25"/>
      <c r="L615" s="25"/>
      <c r="M615" s="25"/>
    </row>
    <row r="616" spans="5:13" x14ac:dyDescent="0.25">
      <c r="E616" s="25"/>
      <c r="F616" s="25"/>
      <c r="G616" s="25"/>
      <c r="H616" s="25"/>
      <c r="I616" s="25"/>
      <c r="J616" s="25"/>
      <c r="K616" s="25"/>
      <c r="L616" s="25"/>
      <c r="M616" s="25"/>
    </row>
    <row r="617" spans="5:13" x14ac:dyDescent="0.25">
      <c r="E617" s="25"/>
      <c r="F617" s="25"/>
      <c r="G617" s="25"/>
      <c r="H617" s="25"/>
      <c r="I617" s="25"/>
      <c r="J617" s="25"/>
      <c r="K617" s="25"/>
      <c r="L617" s="25"/>
      <c r="M617" s="25"/>
    </row>
    <row r="618" spans="5:13" x14ac:dyDescent="0.25">
      <c r="E618" s="25"/>
      <c r="F618" s="25"/>
      <c r="G618" s="25"/>
      <c r="H618" s="25"/>
      <c r="I618" s="25"/>
      <c r="J618" s="25"/>
      <c r="K618" s="25"/>
      <c r="L618" s="25"/>
      <c r="M618" s="25"/>
    </row>
    <row r="619" spans="5:13" x14ac:dyDescent="0.25">
      <c r="E619" s="25"/>
      <c r="F619" s="25"/>
      <c r="G619" s="25"/>
      <c r="H619" s="25"/>
      <c r="I619" s="25"/>
      <c r="J619" s="25"/>
      <c r="K619" s="25"/>
      <c r="L619" s="25"/>
      <c r="M619" s="25"/>
    </row>
    <row r="620" spans="5:13" x14ac:dyDescent="0.25">
      <c r="E620" s="25"/>
      <c r="F620" s="25"/>
      <c r="G620" s="25"/>
      <c r="H620" s="25"/>
      <c r="I620" s="25"/>
      <c r="J620" s="25"/>
      <c r="K620" s="25"/>
      <c r="L620" s="25"/>
      <c r="M620" s="25"/>
    </row>
    <row r="621" spans="5:13" x14ac:dyDescent="0.25">
      <c r="E621" s="25"/>
      <c r="F621" s="25"/>
      <c r="G621" s="25"/>
      <c r="H621" s="25"/>
      <c r="I621" s="25"/>
      <c r="J621" s="25"/>
      <c r="K621" s="25"/>
      <c r="L621" s="25"/>
      <c r="M621" s="25"/>
    </row>
    <row r="622" spans="5:13" x14ac:dyDescent="0.25">
      <c r="E622" s="25"/>
      <c r="F622" s="25"/>
      <c r="G622" s="25"/>
      <c r="H622" s="25"/>
      <c r="I622" s="25"/>
      <c r="J622" s="25"/>
      <c r="K622" s="25"/>
      <c r="L622" s="25"/>
      <c r="M622" s="25"/>
    </row>
    <row r="623" spans="5:13" x14ac:dyDescent="0.25">
      <c r="E623" s="25"/>
      <c r="F623" s="25"/>
      <c r="G623" s="25"/>
      <c r="H623" s="25"/>
      <c r="I623" s="25"/>
      <c r="J623" s="25"/>
      <c r="K623" s="25"/>
      <c r="L623" s="25"/>
      <c r="M623" s="25"/>
    </row>
    <row r="624" spans="5:13" x14ac:dyDescent="0.25">
      <c r="E624" s="25"/>
      <c r="F624" s="25"/>
      <c r="G624" s="25"/>
      <c r="H624" s="25"/>
      <c r="I624" s="25"/>
      <c r="J624" s="25"/>
      <c r="K624" s="25"/>
      <c r="L624" s="25"/>
      <c r="M624" s="25"/>
    </row>
    <row r="625" spans="5:13" x14ac:dyDescent="0.25">
      <c r="E625" s="25"/>
      <c r="F625" s="25"/>
      <c r="G625" s="25"/>
      <c r="H625" s="25"/>
      <c r="I625" s="25"/>
      <c r="J625" s="25"/>
      <c r="K625" s="25"/>
      <c r="L625" s="25"/>
      <c r="M625" s="25"/>
    </row>
    <row r="626" spans="5:13" x14ac:dyDescent="0.25">
      <c r="E626" s="25"/>
      <c r="F626" s="25"/>
      <c r="G626" s="25"/>
      <c r="H626" s="25"/>
      <c r="I626" s="25"/>
      <c r="J626" s="25"/>
      <c r="K626" s="25"/>
      <c r="L626" s="25"/>
      <c r="M626" s="25"/>
    </row>
    <row r="627" spans="5:13" x14ac:dyDescent="0.25">
      <c r="E627" s="25"/>
      <c r="F627" s="25"/>
      <c r="G627" s="25"/>
      <c r="H627" s="25"/>
      <c r="I627" s="25"/>
      <c r="J627" s="25"/>
      <c r="K627" s="25"/>
      <c r="L627" s="25"/>
      <c r="M627" s="25"/>
    </row>
    <row r="628" spans="5:13" x14ac:dyDescent="0.25">
      <c r="E628" s="25"/>
      <c r="F628" s="25"/>
      <c r="G628" s="25"/>
      <c r="H628" s="25"/>
      <c r="I628" s="25"/>
      <c r="J628" s="25"/>
      <c r="K628" s="25"/>
      <c r="L628" s="25"/>
      <c r="M628" s="25"/>
    </row>
    <row r="629" spans="5:13" x14ac:dyDescent="0.25">
      <c r="E629" s="25"/>
      <c r="F629" s="25"/>
      <c r="G629" s="25"/>
      <c r="H629" s="25"/>
      <c r="I629" s="25"/>
      <c r="J629" s="25"/>
      <c r="K629" s="25"/>
      <c r="L629" s="25"/>
      <c r="M629" s="25"/>
    </row>
    <row r="630" spans="5:13" x14ac:dyDescent="0.25">
      <c r="E630" s="25"/>
      <c r="F630" s="25"/>
      <c r="G630" s="25"/>
      <c r="H630" s="25"/>
      <c r="I630" s="25"/>
      <c r="J630" s="25"/>
      <c r="K630" s="25"/>
      <c r="L630" s="25"/>
      <c r="M630" s="25"/>
    </row>
    <row r="631" spans="5:13" x14ac:dyDescent="0.25">
      <c r="E631" s="25"/>
      <c r="F631" s="25"/>
      <c r="G631" s="25"/>
      <c r="H631" s="25"/>
      <c r="I631" s="25"/>
      <c r="J631" s="25"/>
      <c r="K631" s="25"/>
      <c r="L631" s="25"/>
      <c r="M631" s="25"/>
    </row>
    <row r="632" spans="5:13" x14ac:dyDescent="0.25">
      <c r="E632" s="25"/>
      <c r="F632" s="25"/>
      <c r="G632" s="25"/>
      <c r="H632" s="25"/>
      <c r="I632" s="25"/>
      <c r="J632" s="25"/>
      <c r="K632" s="25"/>
      <c r="L632" s="25"/>
      <c r="M632" s="25"/>
    </row>
    <row r="633" spans="5:13" x14ac:dyDescent="0.25">
      <c r="E633" s="25"/>
      <c r="F633" s="25"/>
      <c r="G633" s="25"/>
      <c r="H633" s="25"/>
      <c r="I633" s="25"/>
      <c r="J633" s="25"/>
      <c r="K633" s="25"/>
      <c r="L633" s="25"/>
      <c r="M633" s="25"/>
    </row>
    <row r="634" spans="5:13" x14ac:dyDescent="0.25">
      <c r="E634" s="25"/>
      <c r="F634" s="25"/>
      <c r="G634" s="25"/>
      <c r="H634" s="25"/>
      <c r="I634" s="25"/>
      <c r="J634" s="25"/>
      <c r="K634" s="25"/>
      <c r="L634" s="25"/>
      <c r="M634" s="25"/>
    </row>
    <row r="635" spans="5:13" x14ac:dyDescent="0.25">
      <c r="E635" s="25"/>
      <c r="F635" s="25"/>
      <c r="G635" s="25"/>
      <c r="H635" s="25"/>
      <c r="I635" s="25"/>
      <c r="J635" s="25"/>
      <c r="K635" s="25"/>
      <c r="L635" s="25"/>
      <c r="M635" s="25"/>
    </row>
    <row r="636" spans="5:13" x14ac:dyDescent="0.25">
      <c r="E636" s="25"/>
      <c r="F636" s="25"/>
      <c r="G636" s="25"/>
      <c r="H636" s="25"/>
      <c r="I636" s="25"/>
      <c r="J636" s="25"/>
      <c r="K636" s="25"/>
      <c r="L636" s="25"/>
      <c r="M636" s="25"/>
    </row>
    <row r="637" spans="5:13" x14ac:dyDescent="0.25">
      <c r="E637" s="25"/>
      <c r="F637" s="25"/>
      <c r="G637" s="25"/>
      <c r="H637" s="25"/>
      <c r="I637" s="25"/>
      <c r="J637" s="25"/>
      <c r="K637" s="25"/>
      <c r="L637" s="25"/>
      <c r="M637" s="25"/>
    </row>
    <row r="638" spans="5:13" x14ac:dyDescent="0.25">
      <c r="E638" s="25"/>
      <c r="F638" s="25"/>
      <c r="G638" s="25"/>
      <c r="H638" s="25"/>
      <c r="I638" s="25"/>
      <c r="J638" s="25"/>
      <c r="K638" s="25"/>
      <c r="L638" s="25"/>
      <c r="M638" s="25"/>
    </row>
    <row r="639" spans="5:13" x14ac:dyDescent="0.25">
      <c r="E639" s="25"/>
      <c r="F639" s="25"/>
      <c r="G639" s="25"/>
      <c r="H639" s="25"/>
      <c r="I639" s="25"/>
      <c r="J639" s="25"/>
      <c r="K639" s="25"/>
      <c r="L639" s="25"/>
      <c r="M639" s="25"/>
    </row>
    <row r="640" spans="5:13" x14ac:dyDescent="0.25">
      <c r="E640" s="25"/>
      <c r="F640" s="25"/>
      <c r="G640" s="25"/>
      <c r="H640" s="25"/>
      <c r="I640" s="25"/>
      <c r="J640" s="25"/>
      <c r="K640" s="25"/>
      <c r="L640" s="25"/>
      <c r="M640" s="25"/>
    </row>
    <row r="641" spans="5:13" x14ac:dyDescent="0.25">
      <c r="E641" s="25"/>
      <c r="F641" s="25"/>
      <c r="G641" s="25"/>
      <c r="H641" s="25"/>
      <c r="I641" s="25"/>
      <c r="J641" s="25"/>
      <c r="K641" s="25"/>
      <c r="L641" s="25"/>
      <c r="M641" s="25"/>
    </row>
    <row r="642" spans="5:13" x14ac:dyDescent="0.25">
      <c r="E642" s="25"/>
      <c r="F642" s="25"/>
      <c r="G642" s="25"/>
      <c r="H642" s="25"/>
      <c r="I642" s="25"/>
      <c r="J642" s="25"/>
      <c r="K642" s="25"/>
      <c r="L642" s="25"/>
      <c r="M642" s="25"/>
    </row>
    <row r="643" spans="5:13" x14ac:dyDescent="0.25">
      <c r="E643" s="25"/>
      <c r="F643" s="25"/>
      <c r="G643" s="25"/>
      <c r="H643" s="25"/>
      <c r="I643" s="25"/>
      <c r="J643" s="25"/>
      <c r="K643" s="25"/>
      <c r="L643" s="25"/>
      <c r="M643" s="25"/>
    </row>
    <row r="644" spans="5:13" x14ac:dyDescent="0.25">
      <c r="E644" s="25"/>
      <c r="F644" s="25"/>
      <c r="G644" s="25"/>
      <c r="H644" s="25"/>
      <c r="I644" s="25"/>
      <c r="J644" s="25"/>
      <c r="K644" s="25"/>
      <c r="L644" s="25"/>
      <c r="M644" s="25"/>
    </row>
    <row r="645" spans="5:13" x14ac:dyDescent="0.25">
      <c r="E645" s="25"/>
      <c r="F645" s="25"/>
      <c r="G645" s="25"/>
      <c r="H645" s="25"/>
      <c r="I645" s="25"/>
      <c r="J645" s="25"/>
      <c r="K645" s="25"/>
      <c r="L645" s="25"/>
      <c r="M645" s="25"/>
    </row>
    <row r="646" spans="5:13" x14ac:dyDescent="0.25">
      <c r="E646" s="25"/>
      <c r="F646" s="25"/>
      <c r="G646" s="25"/>
      <c r="H646" s="25"/>
      <c r="I646" s="25"/>
      <c r="J646" s="25"/>
      <c r="K646" s="25"/>
      <c r="L646" s="25"/>
      <c r="M646" s="25"/>
    </row>
    <row r="647" spans="5:13" x14ac:dyDescent="0.25">
      <c r="E647" s="25"/>
      <c r="F647" s="25"/>
      <c r="G647" s="25"/>
      <c r="H647" s="25"/>
      <c r="I647" s="25"/>
      <c r="J647" s="25"/>
      <c r="K647" s="25"/>
      <c r="L647" s="25"/>
      <c r="M647" s="25"/>
    </row>
    <row r="648" spans="5:13" x14ac:dyDescent="0.25">
      <c r="E648" s="25"/>
      <c r="F648" s="25"/>
      <c r="G648" s="25"/>
      <c r="H648" s="25"/>
      <c r="I648" s="25"/>
      <c r="J648" s="25"/>
      <c r="K648" s="25"/>
      <c r="L648" s="25"/>
      <c r="M648" s="25"/>
    </row>
    <row r="649" spans="5:13" x14ac:dyDescent="0.25">
      <c r="E649" s="25"/>
      <c r="F649" s="25"/>
      <c r="G649" s="25"/>
      <c r="H649" s="25"/>
      <c r="I649" s="25"/>
      <c r="J649" s="25"/>
      <c r="K649" s="25"/>
      <c r="L649" s="25"/>
      <c r="M649" s="25"/>
    </row>
    <row r="650" spans="5:13" x14ac:dyDescent="0.25">
      <c r="E650" s="25"/>
      <c r="F650" s="25"/>
      <c r="G650" s="25"/>
      <c r="H650" s="25"/>
      <c r="I650" s="25"/>
      <c r="J650" s="25"/>
      <c r="K650" s="25"/>
      <c r="L650" s="25"/>
      <c r="M650" s="25"/>
    </row>
    <row r="651" spans="5:13" x14ac:dyDescent="0.25">
      <c r="E651" s="25"/>
      <c r="F651" s="25"/>
      <c r="G651" s="25"/>
      <c r="H651" s="25"/>
      <c r="I651" s="25"/>
      <c r="J651" s="25"/>
      <c r="K651" s="25"/>
      <c r="L651" s="25"/>
      <c r="M651" s="25"/>
    </row>
    <row r="652" spans="5:13" x14ac:dyDescent="0.25">
      <c r="E652" s="25"/>
      <c r="F652" s="25"/>
      <c r="G652" s="25"/>
      <c r="H652" s="25"/>
      <c r="I652" s="25"/>
      <c r="J652" s="25"/>
      <c r="K652" s="25"/>
      <c r="L652" s="25"/>
      <c r="M652" s="25"/>
    </row>
    <row r="653" spans="5:13" x14ac:dyDescent="0.25">
      <c r="E653" s="25"/>
      <c r="F653" s="25"/>
      <c r="G653" s="25"/>
      <c r="H653" s="25"/>
      <c r="I653" s="25"/>
      <c r="J653" s="25"/>
      <c r="K653" s="25"/>
      <c r="L653" s="25"/>
      <c r="M653" s="25"/>
    </row>
    <row r="654" spans="5:13" x14ac:dyDescent="0.25">
      <c r="E654" s="25"/>
      <c r="F654" s="25"/>
      <c r="G654" s="25"/>
      <c r="H654" s="25"/>
      <c r="I654" s="25"/>
      <c r="J654" s="25"/>
      <c r="K654" s="25"/>
      <c r="L654" s="25"/>
      <c r="M654" s="25"/>
    </row>
    <row r="655" spans="5:13" x14ac:dyDescent="0.25">
      <c r="E655" s="25"/>
      <c r="F655" s="25"/>
      <c r="G655" s="25"/>
      <c r="H655" s="25"/>
      <c r="I655" s="25"/>
      <c r="J655" s="25"/>
      <c r="K655" s="25"/>
      <c r="L655" s="25"/>
      <c r="M655" s="25"/>
    </row>
    <row r="656" spans="5:13" x14ac:dyDescent="0.25">
      <c r="E656" s="25"/>
      <c r="F656" s="25"/>
      <c r="G656" s="25"/>
      <c r="H656" s="25"/>
      <c r="I656" s="25"/>
      <c r="J656" s="25"/>
      <c r="K656" s="25"/>
      <c r="L656" s="25"/>
      <c r="M656" s="25"/>
    </row>
    <row r="657" spans="5:13" x14ac:dyDescent="0.25">
      <c r="E657" s="25"/>
      <c r="F657" s="25"/>
      <c r="G657" s="25"/>
      <c r="H657" s="25"/>
      <c r="I657" s="25"/>
      <c r="J657" s="25"/>
      <c r="K657" s="25"/>
      <c r="L657" s="25"/>
      <c r="M657" s="25"/>
    </row>
    <row r="658" spans="5:13" x14ac:dyDescent="0.25">
      <c r="E658" s="25"/>
      <c r="F658" s="25"/>
      <c r="G658" s="25"/>
      <c r="H658" s="25"/>
      <c r="I658" s="25"/>
      <c r="J658" s="25"/>
      <c r="K658" s="25"/>
      <c r="L658" s="25"/>
      <c r="M658" s="25"/>
    </row>
    <row r="659" spans="5:13" x14ac:dyDescent="0.25">
      <c r="E659" s="25"/>
      <c r="F659" s="25"/>
      <c r="G659" s="25"/>
      <c r="H659" s="25"/>
      <c r="I659" s="25"/>
      <c r="J659" s="25"/>
      <c r="K659" s="25"/>
      <c r="L659" s="25"/>
      <c r="M659" s="25"/>
    </row>
    <row r="660" spans="5:13" x14ac:dyDescent="0.25">
      <c r="E660" s="25"/>
      <c r="F660" s="25"/>
      <c r="G660" s="25"/>
      <c r="H660" s="25"/>
      <c r="I660" s="25"/>
      <c r="J660" s="25"/>
      <c r="K660" s="25"/>
      <c r="L660" s="25"/>
      <c r="M660" s="25"/>
    </row>
    <row r="661" spans="5:13" x14ac:dyDescent="0.25">
      <c r="E661" s="25"/>
      <c r="F661" s="25"/>
      <c r="G661" s="25"/>
      <c r="H661" s="25"/>
      <c r="I661" s="25"/>
      <c r="J661" s="25"/>
      <c r="K661" s="25"/>
      <c r="L661" s="25"/>
      <c r="M661" s="25"/>
    </row>
    <row r="662" spans="5:13" x14ac:dyDescent="0.25">
      <c r="E662" s="25"/>
      <c r="F662" s="25"/>
      <c r="G662" s="25"/>
      <c r="H662" s="25"/>
      <c r="I662" s="25"/>
      <c r="J662" s="25"/>
      <c r="K662" s="25"/>
      <c r="L662" s="25"/>
      <c r="M662" s="25"/>
    </row>
    <row r="663" spans="5:13" x14ac:dyDescent="0.25">
      <c r="E663" s="25"/>
      <c r="F663" s="25"/>
      <c r="G663" s="25"/>
      <c r="H663" s="25"/>
      <c r="I663" s="25"/>
      <c r="J663" s="25"/>
      <c r="K663" s="25"/>
      <c r="L663" s="25"/>
      <c r="M663" s="25"/>
    </row>
    <row r="664" spans="5:13" x14ac:dyDescent="0.25">
      <c r="E664" s="25"/>
      <c r="F664" s="25"/>
      <c r="G664" s="25"/>
      <c r="H664" s="25"/>
      <c r="I664" s="25"/>
      <c r="J664" s="25"/>
      <c r="K664" s="25"/>
      <c r="L664" s="25"/>
      <c r="M664" s="25"/>
    </row>
    <row r="665" spans="5:13" x14ac:dyDescent="0.25">
      <c r="E665" s="25"/>
      <c r="F665" s="25"/>
      <c r="G665" s="25"/>
      <c r="H665" s="25"/>
      <c r="I665" s="25"/>
      <c r="J665" s="25"/>
      <c r="K665" s="25"/>
      <c r="L665" s="25"/>
      <c r="M665" s="25"/>
    </row>
    <row r="666" spans="5:13" x14ac:dyDescent="0.25">
      <c r="E666" s="25"/>
      <c r="F666" s="25"/>
      <c r="G666" s="25"/>
      <c r="H666" s="25"/>
      <c r="I666" s="25"/>
      <c r="J666" s="25"/>
      <c r="K666" s="25"/>
      <c r="L666" s="25"/>
      <c r="M666" s="25"/>
    </row>
    <row r="667" spans="5:13" x14ac:dyDescent="0.25">
      <c r="E667" s="25"/>
      <c r="F667" s="25"/>
      <c r="G667" s="25"/>
      <c r="H667" s="25"/>
      <c r="I667" s="25"/>
      <c r="J667" s="25"/>
      <c r="K667" s="25"/>
      <c r="L667" s="25"/>
      <c r="M667" s="25"/>
    </row>
    <row r="668" spans="5:13" x14ac:dyDescent="0.25">
      <c r="E668" s="25"/>
      <c r="F668" s="25"/>
      <c r="G668" s="25"/>
      <c r="H668" s="25"/>
      <c r="I668" s="25"/>
      <c r="J668" s="25"/>
      <c r="K668" s="25"/>
      <c r="L668" s="25"/>
      <c r="M668" s="25"/>
    </row>
    <row r="669" spans="5:13" x14ac:dyDescent="0.25">
      <c r="E669" s="25"/>
      <c r="F669" s="25"/>
      <c r="G669" s="25"/>
      <c r="H669" s="25"/>
      <c r="I669" s="25"/>
      <c r="J669" s="25"/>
      <c r="K669" s="25"/>
      <c r="L669" s="25"/>
      <c r="M669" s="25"/>
    </row>
    <row r="670" spans="5:13" x14ac:dyDescent="0.25">
      <c r="E670" s="25"/>
      <c r="F670" s="25"/>
      <c r="G670" s="25"/>
      <c r="H670" s="25"/>
      <c r="I670" s="25"/>
      <c r="J670" s="25"/>
      <c r="K670" s="25"/>
      <c r="L670" s="25"/>
      <c r="M670" s="25"/>
    </row>
    <row r="671" spans="5:13" x14ac:dyDescent="0.25">
      <c r="E671" s="25"/>
      <c r="F671" s="25"/>
      <c r="G671" s="25"/>
      <c r="H671" s="25"/>
      <c r="I671" s="25"/>
      <c r="J671" s="25"/>
      <c r="K671" s="25"/>
      <c r="L671" s="25"/>
      <c r="M671" s="25"/>
    </row>
    <row r="672" spans="5:13" x14ac:dyDescent="0.25">
      <c r="E672" s="25"/>
      <c r="F672" s="25"/>
      <c r="G672" s="25"/>
      <c r="H672" s="25"/>
      <c r="I672" s="25"/>
      <c r="J672" s="25"/>
      <c r="K672" s="25"/>
      <c r="L672" s="25"/>
      <c r="M672" s="25"/>
    </row>
    <row r="673" spans="5:13" x14ac:dyDescent="0.25">
      <c r="E673" s="25"/>
      <c r="F673" s="25"/>
      <c r="G673" s="25"/>
      <c r="H673" s="25"/>
      <c r="I673" s="25"/>
      <c r="J673" s="25"/>
      <c r="K673" s="25"/>
      <c r="L673" s="25"/>
      <c r="M673" s="25"/>
    </row>
    <row r="674" spans="5:13" x14ac:dyDescent="0.25">
      <c r="E674" s="25"/>
      <c r="F674" s="25"/>
      <c r="G674" s="25"/>
      <c r="H674" s="25"/>
      <c r="I674" s="25"/>
      <c r="J674" s="25"/>
      <c r="K674" s="25"/>
      <c r="L674" s="25"/>
      <c r="M674" s="25"/>
    </row>
    <row r="675" spans="5:13" x14ac:dyDescent="0.25">
      <c r="E675" s="25"/>
      <c r="F675" s="25"/>
      <c r="G675" s="25"/>
      <c r="H675" s="25"/>
      <c r="I675" s="25"/>
      <c r="J675" s="25"/>
      <c r="K675" s="25"/>
      <c r="L675" s="25"/>
      <c r="M675" s="25"/>
    </row>
    <row r="676" spans="5:13" x14ac:dyDescent="0.25">
      <c r="E676" s="25"/>
      <c r="F676" s="25"/>
      <c r="G676" s="25"/>
      <c r="H676" s="25"/>
      <c r="I676" s="25"/>
      <c r="J676" s="25"/>
      <c r="K676" s="25"/>
      <c r="L676" s="25"/>
      <c r="M676" s="25"/>
    </row>
    <row r="677" spans="5:13" x14ac:dyDescent="0.25">
      <c r="E677" s="25"/>
      <c r="F677" s="25"/>
      <c r="G677" s="25"/>
      <c r="H677" s="25"/>
      <c r="I677" s="25"/>
      <c r="J677" s="25"/>
      <c r="K677" s="25"/>
      <c r="L677" s="25"/>
      <c r="M677" s="25"/>
    </row>
    <row r="678" spans="5:13" x14ac:dyDescent="0.25">
      <c r="E678" s="25"/>
      <c r="F678" s="25"/>
      <c r="G678" s="25"/>
      <c r="H678" s="25"/>
      <c r="I678" s="25"/>
      <c r="J678" s="25"/>
      <c r="K678" s="25"/>
      <c r="L678" s="25"/>
      <c r="M678" s="25"/>
    </row>
    <row r="679" spans="5:13" x14ac:dyDescent="0.25">
      <c r="E679" s="25"/>
      <c r="F679" s="25"/>
      <c r="G679" s="25"/>
      <c r="H679" s="25"/>
      <c r="I679" s="25"/>
      <c r="J679" s="25"/>
      <c r="K679" s="25"/>
      <c r="L679" s="25"/>
      <c r="M679" s="25"/>
    </row>
    <row r="680" spans="5:13" x14ac:dyDescent="0.25">
      <c r="E680" s="25"/>
      <c r="F680" s="25"/>
      <c r="G680" s="25"/>
      <c r="H680" s="25"/>
      <c r="I680" s="25"/>
      <c r="J680" s="25"/>
      <c r="K680" s="25"/>
      <c r="L680" s="25"/>
      <c r="M680" s="25"/>
    </row>
    <row r="681" spans="5:13" x14ac:dyDescent="0.25">
      <c r="E681" s="25"/>
      <c r="F681" s="25"/>
      <c r="G681" s="25"/>
      <c r="H681" s="25"/>
      <c r="I681" s="25"/>
      <c r="J681" s="25"/>
      <c r="K681" s="25"/>
      <c r="L681" s="25"/>
      <c r="M681" s="25"/>
    </row>
    <row r="682" spans="5:13" x14ac:dyDescent="0.25">
      <c r="E682" s="25"/>
      <c r="F682" s="25"/>
      <c r="G682" s="25"/>
      <c r="H682" s="25"/>
      <c r="I682" s="25"/>
      <c r="J682" s="25"/>
      <c r="K682" s="25"/>
      <c r="L682" s="25"/>
      <c r="M682" s="25"/>
    </row>
    <row r="683" spans="5:13" x14ac:dyDescent="0.25">
      <c r="E683" s="25"/>
      <c r="F683" s="25"/>
      <c r="G683" s="25"/>
      <c r="H683" s="25"/>
      <c r="I683" s="25"/>
      <c r="J683" s="25"/>
      <c r="K683" s="25"/>
      <c r="L683" s="25"/>
      <c r="M683" s="25"/>
    </row>
    <row r="684" spans="5:13" x14ac:dyDescent="0.25">
      <c r="E684" s="25"/>
      <c r="F684" s="25"/>
      <c r="G684" s="25"/>
      <c r="H684" s="25"/>
      <c r="I684" s="25"/>
      <c r="J684" s="25"/>
      <c r="K684" s="25"/>
      <c r="L684" s="25"/>
      <c r="M684" s="25"/>
    </row>
    <row r="685" spans="5:13" x14ac:dyDescent="0.25">
      <c r="E685" s="25"/>
      <c r="F685" s="25"/>
      <c r="G685" s="25"/>
      <c r="H685" s="25"/>
      <c r="I685" s="25"/>
      <c r="J685" s="25"/>
      <c r="K685" s="25"/>
      <c r="L685" s="25"/>
      <c r="M685" s="25"/>
    </row>
    <row r="686" spans="5:13" x14ac:dyDescent="0.25">
      <c r="E686" s="25"/>
      <c r="F686" s="25"/>
      <c r="G686" s="25"/>
      <c r="H686" s="25"/>
      <c r="I686" s="25"/>
      <c r="J686" s="25"/>
      <c r="K686" s="25"/>
      <c r="L686" s="25"/>
      <c r="M686" s="25"/>
    </row>
    <row r="687" spans="5:13" x14ac:dyDescent="0.25">
      <c r="E687" s="25"/>
      <c r="F687" s="25"/>
      <c r="G687" s="25"/>
      <c r="H687" s="25"/>
      <c r="I687" s="25"/>
      <c r="J687" s="25"/>
      <c r="K687" s="25"/>
      <c r="L687" s="25"/>
      <c r="M687" s="25"/>
    </row>
    <row r="688" spans="5:13" x14ac:dyDescent="0.25">
      <c r="E688" s="25"/>
      <c r="F688" s="25"/>
      <c r="G688" s="25"/>
      <c r="H688" s="25"/>
      <c r="I688" s="25"/>
      <c r="J688" s="25"/>
      <c r="K688" s="25"/>
      <c r="L688" s="25"/>
      <c r="M688" s="25"/>
    </row>
    <row r="689" spans="5:13" x14ac:dyDescent="0.25">
      <c r="E689" s="25"/>
      <c r="F689" s="25"/>
      <c r="G689" s="25"/>
      <c r="H689" s="25"/>
      <c r="I689" s="25"/>
      <c r="J689" s="25"/>
      <c r="K689" s="25"/>
      <c r="L689" s="25"/>
      <c r="M689" s="25"/>
    </row>
    <row r="690" spans="5:13" x14ac:dyDescent="0.25">
      <c r="E690" s="25"/>
      <c r="F690" s="25"/>
      <c r="G690" s="25"/>
      <c r="H690" s="25"/>
      <c r="I690" s="25"/>
      <c r="J690" s="25"/>
      <c r="K690" s="25"/>
      <c r="L690" s="25"/>
      <c r="M690" s="25"/>
    </row>
    <row r="691" spans="5:13" x14ac:dyDescent="0.25">
      <c r="E691" s="25"/>
      <c r="F691" s="25"/>
      <c r="G691" s="25"/>
      <c r="H691" s="25"/>
      <c r="I691" s="25"/>
      <c r="J691" s="25"/>
      <c r="K691" s="25"/>
      <c r="L691" s="25"/>
      <c r="M691" s="25"/>
    </row>
    <row r="692" spans="5:13" x14ac:dyDescent="0.25">
      <c r="E692" s="25"/>
      <c r="F692" s="25"/>
      <c r="G692" s="25"/>
      <c r="H692" s="25"/>
      <c r="I692" s="25"/>
      <c r="J692" s="25"/>
      <c r="K692" s="25"/>
      <c r="L692" s="25"/>
      <c r="M692" s="25"/>
    </row>
    <row r="693" spans="5:13" x14ac:dyDescent="0.25">
      <c r="E693" s="25"/>
      <c r="F693" s="25"/>
      <c r="G693" s="25"/>
      <c r="H693" s="25"/>
      <c r="I693" s="25"/>
      <c r="J693" s="25"/>
      <c r="K693" s="25"/>
      <c r="L693" s="25"/>
      <c r="M693" s="25"/>
    </row>
    <row r="694" spans="5:13" x14ac:dyDescent="0.25">
      <c r="E694" s="25"/>
      <c r="F694" s="25"/>
      <c r="G694" s="25"/>
      <c r="H694" s="25"/>
      <c r="I694" s="25"/>
      <c r="J694" s="25"/>
      <c r="K694" s="25"/>
      <c r="L694" s="25"/>
      <c r="M694" s="25"/>
    </row>
    <row r="695" spans="5:13" x14ac:dyDescent="0.25">
      <c r="E695" s="25"/>
      <c r="F695" s="25"/>
      <c r="G695" s="25"/>
      <c r="H695" s="25"/>
      <c r="I695" s="25"/>
      <c r="J695" s="25"/>
      <c r="K695" s="25"/>
      <c r="L695" s="25"/>
      <c r="M695" s="25"/>
    </row>
    <row r="696" spans="5:13" x14ac:dyDescent="0.25">
      <c r="E696" s="25"/>
      <c r="F696" s="25"/>
      <c r="G696" s="25"/>
      <c r="H696" s="25"/>
      <c r="I696" s="25"/>
      <c r="J696" s="25"/>
      <c r="K696" s="25"/>
      <c r="L696" s="25"/>
      <c r="M696" s="25"/>
    </row>
    <row r="697" spans="5:13" x14ac:dyDescent="0.25">
      <c r="E697" s="25"/>
      <c r="F697" s="25"/>
      <c r="G697" s="25"/>
      <c r="H697" s="25"/>
      <c r="I697" s="25"/>
      <c r="J697" s="25"/>
      <c r="K697" s="25"/>
      <c r="L697" s="25"/>
      <c r="M697" s="25"/>
    </row>
    <row r="698" spans="5:13" x14ac:dyDescent="0.25">
      <c r="E698" s="25"/>
      <c r="F698" s="25"/>
      <c r="G698" s="25"/>
      <c r="H698" s="25"/>
      <c r="I698" s="25"/>
      <c r="J698" s="25"/>
      <c r="K698" s="25"/>
      <c r="L698" s="25"/>
      <c r="M698" s="25"/>
    </row>
    <row r="699" spans="5:13" x14ac:dyDescent="0.25">
      <c r="E699" s="25"/>
      <c r="F699" s="25"/>
      <c r="G699" s="25"/>
      <c r="H699" s="25"/>
      <c r="I699" s="25"/>
      <c r="J699" s="25"/>
      <c r="K699" s="25"/>
      <c r="L699" s="25"/>
      <c r="M699" s="25"/>
    </row>
    <row r="700" spans="5:13" x14ac:dyDescent="0.25">
      <c r="E700" s="25"/>
      <c r="F700" s="25"/>
      <c r="G700" s="25"/>
      <c r="H700" s="25"/>
      <c r="I700" s="25"/>
      <c r="J700" s="25"/>
      <c r="K700" s="25"/>
      <c r="L700" s="25"/>
      <c r="M700" s="25"/>
    </row>
    <row r="701" spans="5:13" x14ac:dyDescent="0.25">
      <c r="E701" s="25"/>
      <c r="F701" s="25"/>
      <c r="G701" s="25"/>
      <c r="H701" s="25"/>
      <c r="I701" s="25"/>
      <c r="J701" s="25"/>
      <c r="K701" s="25"/>
      <c r="L701" s="25"/>
      <c r="M701" s="25"/>
    </row>
    <row r="702" spans="5:13" x14ac:dyDescent="0.25">
      <c r="E702" s="25"/>
      <c r="F702" s="25"/>
      <c r="G702" s="25"/>
      <c r="H702" s="25"/>
      <c r="I702" s="25"/>
      <c r="J702" s="25"/>
      <c r="K702" s="25"/>
      <c r="L702" s="25"/>
      <c r="M702" s="25"/>
    </row>
    <row r="703" spans="5:13" x14ac:dyDescent="0.25">
      <c r="E703" s="25"/>
      <c r="F703" s="25"/>
      <c r="G703" s="25"/>
      <c r="H703" s="25"/>
      <c r="I703" s="25"/>
      <c r="J703" s="25"/>
      <c r="K703" s="25"/>
      <c r="L703" s="25"/>
      <c r="M703" s="25"/>
    </row>
    <row r="704" spans="5:13" x14ac:dyDescent="0.25">
      <c r="E704" s="25"/>
      <c r="F704" s="25"/>
      <c r="G704" s="25"/>
      <c r="H704" s="25"/>
      <c r="I704" s="25"/>
      <c r="J704" s="25"/>
      <c r="K704" s="25"/>
      <c r="L704" s="25"/>
      <c r="M704" s="25"/>
    </row>
    <row r="705" spans="5:13" x14ac:dyDescent="0.25">
      <c r="E705" s="25"/>
      <c r="F705" s="25"/>
      <c r="G705" s="25"/>
      <c r="H705" s="25"/>
      <c r="I705" s="25"/>
      <c r="J705" s="25"/>
      <c r="K705" s="25"/>
      <c r="L705" s="25"/>
      <c r="M705" s="25"/>
    </row>
    <row r="706" spans="5:13" x14ac:dyDescent="0.25">
      <c r="E706" s="25"/>
      <c r="F706" s="25"/>
      <c r="G706" s="25"/>
      <c r="H706" s="25"/>
      <c r="I706" s="25"/>
      <c r="J706" s="25"/>
      <c r="K706" s="25"/>
      <c r="L706" s="25"/>
      <c r="M706" s="25"/>
    </row>
    <row r="707" spans="5:13" x14ac:dyDescent="0.25">
      <c r="E707" s="25"/>
      <c r="F707" s="25"/>
      <c r="G707" s="25"/>
      <c r="H707" s="25"/>
      <c r="I707" s="25"/>
      <c r="J707" s="25"/>
      <c r="K707" s="25"/>
      <c r="L707" s="25"/>
      <c r="M707" s="25"/>
    </row>
    <row r="708" spans="5:13" x14ac:dyDescent="0.25">
      <c r="E708" s="25"/>
      <c r="F708" s="25"/>
      <c r="G708" s="25"/>
      <c r="H708" s="25"/>
      <c r="I708" s="25"/>
      <c r="J708" s="25"/>
      <c r="K708" s="25"/>
      <c r="L708" s="25"/>
      <c r="M708" s="25"/>
    </row>
    <row r="709" spans="5:13" x14ac:dyDescent="0.25">
      <c r="E709" s="25"/>
      <c r="F709" s="25"/>
      <c r="G709" s="25"/>
      <c r="H709" s="25"/>
      <c r="I709" s="25"/>
      <c r="J709" s="25"/>
      <c r="K709" s="25"/>
      <c r="L709" s="25"/>
      <c r="M709" s="25"/>
    </row>
    <row r="710" spans="5:13" x14ac:dyDescent="0.25">
      <c r="E710" s="25"/>
      <c r="F710" s="25"/>
      <c r="G710" s="25"/>
      <c r="H710" s="25"/>
      <c r="I710" s="25"/>
      <c r="J710" s="25"/>
      <c r="K710" s="25"/>
      <c r="L710" s="25"/>
      <c r="M710" s="25"/>
    </row>
    <row r="711" spans="5:13" x14ac:dyDescent="0.25">
      <c r="E711" s="25"/>
      <c r="F711" s="25"/>
      <c r="G711" s="25"/>
      <c r="H711" s="25"/>
      <c r="I711" s="25"/>
      <c r="J711" s="25"/>
      <c r="K711" s="25"/>
      <c r="L711" s="25"/>
      <c r="M711" s="25"/>
    </row>
    <row r="712" spans="5:13" x14ac:dyDescent="0.25">
      <c r="E712" s="25"/>
      <c r="F712" s="25"/>
      <c r="G712" s="25"/>
      <c r="H712" s="25"/>
      <c r="I712" s="25"/>
      <c r="J712" s="25"/>
      <c r="K712" s="25"/>
      <c r="L712" s="25"/>
      <c r="M712" s="25"/>
    </row>
    <row r="713" spans="5:13" x14ac:dyDescent="0.25">
      <c r="E713" s="25"/>
      <c r="F713" s="25"/>
      <c r="G713" s="25"/>
      <c r="H713" s="25"/>
      <c r="I713" s="25"/>
      <c r="J713" s="25"/>
      <c r="K713" s="25"/>
      <c r="L713" s="25"/>
      <c r="M713" s="25"/>
    </row>
    <row r="714" spans="5:13" x14ac:dyDescent="0.25">
      <c r="E714" s="25"/>
      <c r="F714" s="25"/>
      <c r="G714" s="25"/>
      <c r="H714" s="25"/>
      <c r="I714" s="25"/>
      <c r="J714" s="25"/>
      <c r="K714" s="25"/>
      <c r="L714" s="25"/>
      <c r="M714" s="25"/>
    </row>
    <row r="715" spans="5:13" x14ac:dyDescent="0.25">
      <c r="E715" s="25"/>
      <c r="F715" s="25"/>
      <c r="G715" s="25"/>
      <c r="H715" s="25"/>
      <c r="I715" s="25"/>
      <c r="J715" s="25"/>
      <c r="K715" s="25"/>
      <c r="L715" s="25"/>
      <c r="M715" s="25"/>
    </row>
    <row r="716" spans="5:13" x14ac:dyDescent="0.25">
      <c r="E716" s="25"/>
      <c r="F716" s="25"/>
      <c r="G716" s="25"/>
      <c r="H716" s="25"/>
      <c r="I716" s="25"/>
      <c r="J716" s="25"/>
      <c r="K716" s="25"/>
      <c r="L716" s="25"/>
      <c r="M716" s="25"/>
    </row>
    <row r="717" spans="5:13" x14ac:dyDescent="0.25">
      <c r="E717" s="25"/>
      <c r="F717" s="25"/>
      <c r="G717" s="25"/>
      <c r="H717" s="25"/>
      <c r="I717" s="25"/>
      <c r="J717" s="25"/>
      <c r="K717" s="25"/>
      <c r="L717" s="25"/>
      <c r="M717" s="25"/>
    </row>
    <row r="718" spans="5:13" x14ac:dyDescent="0.25">
      <c r="E718" s="25"/>
      <c r="F718" s="25"/>
      <c r="G718" s="25"/>
      <c r="H718" s="25"/>
      <c r="I718" s="25"/>
      <c r="J718" s="25"/>
      <c r="K718" s="25"/>
      <c r="L718" s="25"/>
      <c r="M718" s="25"/>
    </row>
    <row r="719" spans="5:13" x14ac:dyDescent="0.25">
      <c r="E719" s="25"/>
      <c r="F719" s="25"/>
      <c r="G719" s="25"/>
      <c r="H719" s="25"/>
      <c r="I719" s="25"/>
      <c r="J719" s="25"/>
      <c r="K719" s="25"/>
      <c r="L719" s="25"/>
      <c r="M719" s="25"/>
    </row>
    <row r="720" spans="5:13" x14ac:dyDescent="0.25">
      <c r="E720" s="25"/>
      <c r="F720" s="25"/>
      <c r="G720" s="25"/>
      <c r="H720" s="25"/>
      <c r="I720" s="25"/>
      <c r="J720" s="25"/>
      <c r="K720" s="25"/>
      <c r="L720" s="25"/>
      <c r="M720" s="25"/>
    </row>
    <row r="721" spans="5:13" x14ac:dyDescent="0.25">
      <c r="E721" s="25"/>
      <c r="F721" s="25"/>
      <c r="G721" s="25"/>
      <c r="H721" s="25"/>
      <c r="I721" s="25"/>
      <c r="J721" s="25"/>
      <c r="K721" s="25"/>
      <c r="L721" s="25"/>
      <c r="M721" s="25"/>
    </row>
    <row r="722" spans="5:13" x14ac:dyDescent="0.25">
      <c r="E722" s="25"/>
      <c r="F722" s="25"/>
      <c r="G722" s="25"/>
      <c r="H722" s="25"/>
      <c r="I722" s="25"/>
      <c r="J722" s="25"/>
      <c r="K722" s="25"/>
      <c r="L722" s="25"/>
      <c r="M722" s="25"/>
    </row>
    <row r="723" spans="5:13" x14ac:dyDescent="0.25">
      <c r="E723" s="25"/>
      <c r="F723" s="25"/>
      <c r="G723" s="25"/>
      <c r="H723" s="25"/>
      <c r="I723" s="25"/>
      <c r="J723" s="25"/>
      <c r="K723" s="25"/>
      <c r="L723" s="25"/>
      <c r="M723" s="25"/>
    </row>
    <row r="724" spans="5:13" x14ac:dyDescent="0.25">
      <c r="E724" s="25"/>
      <c r="F724" s="25"/>
      <c r="G724" s="25"/>
      <c r="H724" s="25"/>
      <c r="I724" s="25"/>
      <c r="J724" s="25"/>
      <c r="K724" s="25"/>
      <c r="L724" s="25"/>
      <c r="M724" s="25"/>
    </row>
    <row r="725" spans="5:13" x14ac:dyDescent="0.25">
      <c r="E725" s="25"/>
      <c r="F725" s="25"/>
      <c r="G725" s="25"/>
      <c r="H725" s="25"/>
      <c r="I725" s="25"/>
      <c r="J725" s="25"/>
      <c r="K725" s="25"/>
      <c r="L725" s="25"/>
      <c r="M725" s="25"/>
    </row>
    <row r="726" spans="5:13" x14ac:dyDescent="0.25">
      <c r="E726" s="25"/>
      <c r="F726" s="25"/>
      <c r="G726" s="25"/>
      <c r="H726" s="25"/>
      <c r="I726" s="25"/>
      <c r="J726" s="25"/>
      <c r="K726" s="25"/>
      <c r="L726" s="25"/>
      <c r="M726" s="25"/>
    </row>
    <row r="727" spans="5:13" x14ac:dyDescent="0.25">
      <c r="E727" s="25"/>
      <c r="F727" s="25"/>
      <c r="G727" s="25"/>
      <c r="H727" s="25"/>
      <c r="I727" s="25"/>
      <c r="J727" s="25"/>
      <c r="K727" s="25"/>
      <c r="L727" s="25"/>
      <c r="M727" s="25"/>
    </row>
    <row r="728" spans="5:13" x14ac:dyDescent="0.25">
      <c r="E728" s="25"/>
      <c r="F728" s="25"/>
      <c r="G728" s="25"/>
      <c r="H728" s="25"/>
      <c r="I728" s="25"/>
      <c r="J728" s="25"/>
      <c r="K728" s="25"/>
      <c r="L728" s="25"/>
      <c r="M728" s="25"/>
    </row>
    <row r="729" spans="5:13" x14ac:dyDescent="0.25">
      <c r="E729" s="25"/>
      <c r="F729" s="25"/>
      <c r="G729" s="25"/>
      <c r="H729" s="25"/>
      <c r="I729" s="25"/>
      <c r="J729" s="25"/>
      <c r="K729" s="25"/>
      <c r="L729" s="25"/>
      <c r="M729" s="25"/>
    </row>
    <row r="730" spans="5:13" x14ac:dyDescent="0.25">
      <c r="E730" s="25"/>
      <c r="F730" s="25"/>
      <c r="G730" s="25"/>
      <c r="H730" s="25"/>
      <c r="I730" s="25"/>
      <c r="J730" s="25"/>
      <c r="K730" s="25"/>
      <c r="L730" s="25"/>
      <c r="M730" s="25"/>
    </row>
    <row r="731" spans="5:13" x14ac:dyDescent="0.25">
      <c r="E731" s="25"/>
      <c r="F731" s="25"/>
      <c r="G731" s="25"/>
      <c r="H731" s="25"/>
      <c r="I731" s="25"/>
      <c r="J731" s="25"/>
      <c r="K731" s="25"/>
      <c r="L731" s="25"/>
      <c r="M731" s="25"/>
    </row>
    <row r="732" spans="5:13" x14ac:dyDescent="0.25">
      <c r="E732" s="25"/>
      <c r="F732" s="25"/>
      <c r="G732" s="25"/>
      <c r="H732" s="25"/>
      <c r="I732" s="25"/>
      <c r="J732" s="25"/>
      <c r="K732" s="25"/>
      <c r="L732" s="25"/>
      <c r="M732" s="25"/>
    </row>
    <row r="733" spans="5:13" x14ac:dyDescent="0.25">
      <c r="E733" s="25"/>
      <c r="F733" s="25"/>
      <c r="G733" s="25"/>
      <c r="H733" s="25"/>
      <c r="I733" s="25"/>
      <c r="J733" s="25"/>
      <c r="K733" s="25"/>
      <c r="L733" s="25"/>
      <c r="M733" s="25"/>
    </row>
    <row r="734" spans="5:13" x14ac:dyDescent="0.25">
      <c r="E734" s="25"/>
      <c r="F734" s="25"/>
      <c r="G734" s="25"/>
      <c r="H734" s="25"/>
      <c r="I734" s="25"/>
      <c r="J734" s="25"/>
      <c r="K734" s="25"/>
      <c r="L734" s="25"/>
      <c r="M734" s="25"/>
    </row>
    <row r="735" spans="5:13" x14ac:dyDescent="0.25">
      <c r="E735" s="25"/>
      <c r="F735" s="25"/>
      <c r="G735" s="25"/>
      <c r="H735" s="25"/>
      <c r="I735" s="25"/>
      <c r="J735" s="25"/>
      <c r="K735" s="25"/>
      <c r="L735" s="25"/>
      <c r="M735" s="25"/>
    </row>
    <row r="736" spans="5:13" x14ac:dyDescent="0.25">
      <c r="E736" s="25"/>
      <c r="F736" s="25"/>
      <c r="G736" s="25"/>
      <c r="H736" s="25"/>
      <c r="I736" s="25"/>
      <c r="J736" s="25"/>
      <c r="K736" s="25"/>
      <c r="L736" s="25"/>
      <c r="M736" s="25"/>
    </row>
    <row r="737" spans="5:13" x14ac:dyDescent="0.25">
      <c r="E737" s="25"/>
      <c r="F737" s="25"/>
      <c r="G737" s="25"/>
      <c r="H737" s="25"/>
      <c r="I737" s="25"/>
      <c r="J737" s="25"/>
      <c r="K737" s="25"/>
      <c r="L737" s="25"/>
      <c r="M737" s="25"/>
    </row>
    <row r="738" spans="5:13" x14ac:dyDescent="0.25">
      <c r="E738" s="25"/>
      <c r="F738" s="25"/>
      <c r="G738" s="25"/>
      <c r="H738" s="25"/>
      <c r="I738" s="25"/>
      <c r="J738" s="25"/>
      <c r="K738" s="25"/>
      <c r="L738" s="25"/>
      <c r="M738" s="25"/>
    </row>
    <row r="739" spans="5:13" x14ac:dyDescent="0.25">
      <c r="E739" s="25"/>
      <c r="F739" s="25"/>
      <c r="G739" s="25"/>
      <c r="H739" s="25"/>
      <c r="I739" s="25"/>
      <c r="J739" s="25"/>
      <c r="K739" s="25"/>
      <c r="L739" s="25"/>
      <c r="M739" s="25"/>
    </row>
    <row r="740" spans="5:13" x14ac:dyDescent="0.25">
      <c r="E740" s="25"/>
      <c r="F740" s="25"/>
      <c r="G740" s="25"/>
      <c r="H740" s="25"/>
      <c r="I740" s="25"/>
      <c r="J740" s="25"/>
      <c r="K740" s="25"/>
      <c r="L740" s="25"/>
      <c r="M740" s="25"/>
    </row>
    <row r="741" spans="5:13" x14ac:dyDescent="0.25">
      <c r="E741" s="25"/>
      <c r="F741" s="25"/>
      <c r="G741" s="25"/>
      <c r="H741" s="25"/>
      <c r="I741" s="25"/>
      <c r="J741" s="25"/>
      <c r="K741" s="25"/>
      <c r="L741" s="25"/>
      <c r="M741" s="25"/>
    </row>
    <row r="742" spans="5:13" x14ac:dyDescent="0.25">
      <c r="E742" s="25"/>
      <c r="F742" s="25"/>
      <c r="G742" s="25"/>
      <c r="H742" s="25"/>
      <c r="I742" s="25"/>
      <c r="J742" s="25"/>
      <c r="K742" s="25"/>
      <c r="L742" s="25"/>
      <c r="M742" s="25"/>
    </row>
    <row r="743" spans="5:13" x14ac:dyDescent="0.25">
      <c r="E743" s="25"/>
      <c r="F743" s="25"/>
      <c r="G743" s="25"/>
      <c r="H743" s="25"/>
      <c r="I743" s="25"/>
      <c r="J743" s="25"/>
      <c r="K743" s="25"/>
      <c r="L743" s="25"/>
      <c r="M743" s="25"/>
    </row>
    <row r="744" spans="5:13" x14ac:dyDescent="0.25">
      <c r="E744" s="25"/>
      <c r="F744" s="25"/>
      <c r="G744" s="25"/>
      <c r="H744" s="25"/>
      <c r="I744" s="25"/>
      <c r="J744" s="25"/>
      <c r="K744" s="25"/>
      <c r="L744" s="25"/>
      <c r="M744" s="25"/>
    </row>
    <row r="745" spans="5:13" x14ac:dyDescent="0.25">
      <c r="E745" s="25"/>
      <c r="F745" s="25"/>
      <c r="G745" s="25"/>
      <c r="H745" s="25"/>
      <c r="I745" s="25"/>
      <c r="J745" s="25"/>
      <c r="K745" s="25"/>
      <c r="L745" s="25"/>
      <c r="M745" s="25"/>
    </row>
    <row r="746" spans="5:13" x14ac:dyDescent="0.25">
      <c r="E746" s="25"/>
      <c r="F746" s="25"/>
      <c r="G746" s="25"/>
      <c r="H746" s="25"/>
      <c r="I746" s="25"/>
      <c r="J746" s="25"/>
      <c r="K746" s="25"/>
      <c r="L746" s="25"/>
      <c r="M746" s="25"/>
    </row>
    <row r="747" spans="5:13" x14ac:dyDescent="0.25">
      <c r="E747" s="25"/>
      <c r="F747" s="25"/>
      <c r="G747" s="25"/>
      <c r="H747" s="25"/>
      <c r="I747" s="25"/>
      <c r="J747" s="25"/>
      <c r="K747" s="25"/>
      <c r="L747" s="25"/>
      <c r="M747" s="25"/>
    </row>
    <row r="748" spans="5:13" x14ac:dyDescent="0.25">
      <c r="E748" s="25"/>
      <c r="F748" s="25"/>
      <c r="G748" s="25"/>
      <c r="H748" s="25"/>
      <c r="I748" s="25"/>
      <c r="J748" s="25"/>
      <c r="K748" s="25"/>
      <c r="L748" s="25"/>
      <c r="M748" s="25"/>
    </row>
    <row r="749" spans="5:13" x14ac:dyDescent="0.25">
      <c r="E749" s="25"/>
      <c r="F749" s="25"/>
      <c r="G749" s="25"/>
      <c r="H749" s="25"/>
      <c r="I749" s="25"/>
      <c r="J749" s="25"/>
      <c r="K749" s="25"/>
      <c r="L749" s="25"/>
      <c r="M749" s="25"/>
    </row>
    <row r="750" spans="5:13" x14ac:dyDescent="0.25">
      <c r="E750" s="25"/>
      <c r="F750" s="25"/>
      <c r="G750" s="25"/>
      <c r="H750" s="25"/>
      <c r="I750" s="25"/>
      <c r="J750" s="25"/>
      <c r="K750" s="25"/>
      <c r="L750" s="25"/>
      <c r="M750" s="2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SOILSPECT</dc:creator>
  <cp:lastModifiedBy>dupiau</cp:lastModifiedBy>
  <cp:lastPrinted>2020-06-24T15:38:18Z</cp:lastPrinted>
  <dcterms:created xsi:type="dcterms:W3CDTF">2019-10-29T10:56:29Z</dcterms:created>
  <dcterms:modified xsi:type="dcterms:W3CDTF">2022-04-12T16:14:14Z</dcterms:modified>
</cp:coreProperties>
</file>